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5c5cf2d29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4ef75d9112684647"/>
    <x:sheet xmlns:r="http://schemas.openxmlformats.org/officeDocument/2006/relationships" name="装配明细" sheetId="2" r:id="Rc90cf3caab1f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0"/>
      <x:color rgb="FF182330"/>
      <x:name val="Arial"/>
    </x:font>
    <x:font>
      <x:b/>
      <x:sz val="14"/>
      <x:color rgb="FF1823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A32925"/>
      </x:font>
      <x:fill>
        <x:patternFill patternType="solid">
          <x:bgColor rgb="FFFDE7E6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  <x:dxf>
      <x:font>
        <x:b/>
        <x:color rgb="FFA32925"/>
      </x:font>
      <x:fill>
        <x:patternFill patternType="solid">
          <x:bgColor rgb="FFFDE7E6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  <x:dxf>
      <x:font>
        <x:b/>
        <x:color rgb="FF805600"/>
      </x:font>
      <x:fill>
        <x:patternFill patternType="solid">
          <x:bgColor rgb="FFFFF1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a7f451f964437" /><Relationship Type="http://schemas.openxmlformats.org/officeDocument/2006/relationships/theme" Target="/xl/theme/theme1.xml" Id="R404b37a7bd514b78" /><Relationship Type="http://schemas.openxmlformats.org/officeDocument/2006/relationships/sharedStrings" Target="/xl/sharedStrings.xml" Id="R47ec68ae607f483b" /><Relationship Type="http://schemas.openxmlformats.org/officeDocument/2006/relationships/worksheet" Target="/xl/worksheets/sheet1.xml" Id="R4ef75d9112684647" /><Relationship Type="http://schemas.openxmlformats.org/officeDocument/2006/relationships/worksheet" Target="/xl/worksheets/sheet2.xml" Id="Rc90cf3caab1f4799" /></Relationships>
</file>

<file path=xl/tables/table1.xml><?xml version="1.0" encoding="utf-8"?>
<x:table xmlns:x="http://schemas.openxmlformats.org/spreadsheetml/2006/main" id="1" name="PurchasingParts" displayName="PurchasingParts" ref="A6:G45" headerRowCount="1" totalsRowCount="0" totalsRowShown="0">
  <x:autoFilter ref="A6:G45"/>
  <x:tableColumns count="7">
    <x:tableColumn id="1" name="完整订货号 MPN"/>
    <x:tableColumn id="2" name="厂家"/>
    <x:tableColumn id="3" name="数量"/>
    <x:tableColumn id="4" name="元件值"/>
    <x:tableColumn id="5" name="两板位号"/>
    <x:tableColumn id="6" name="供货状态"/>
    <x:tableColumn id="7" name="特殊采购与验收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mblyParts" displayName="AssemblyParts" ref="A6:J75" headerRowCount="1" totalsRowCount="0" totalsRowShown="0">
  <x:autoFilter ref="A6:J75"/>
  <x:tableColumns count="10">
    <x:tableColumn id="1" name="板卡"/>
    <x:tableColumn id="2" name="位号"/>
    <x:tableColumn id="3" name="数量"/>
    <x:tableColumn id="4" name="元件值"/>
    <x:tableColumn id="5" name="完整订货号 MPN"/>
    <x:tableColumn id="6" name="厂家"/>
    <x:tableColumn id="7" name="本地受控封装"/>
    <x:tableColumn id="8" name="供货状态"/>
    <x:tableColumn id="9" name="特殊采购与验收条件"/>
    <x:tableColumn id="10" name="资料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5ed9cb43db48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16560253fa498c" /></Relationships>
</file>

<file path=xl/worksheets/sheet1.xml><?xml version="1.0" encoding="utf-8"?>
<x:worksheet xmlns:x="http://schemas.openxmlformats.org/spreadsheetml/2006/main">
  <x:sheetPr>
    <x:tabColor rgb="FF27445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8" hidden="0" customWidth="1"/>
    <x:col min="4" max="4" width="17" hidden="0" customWidth="1"/>
    <x:col min="5" max="5" width="43" hidden="0" customWidth="1"/>
    <x:col min="6" max="6" width="30" hidden="0" customWidth="1"/>
    <x:col min="7" max="7" width="82" hidden="0" customWidth="1"/>
  </x:cols>
  <x:sheetData>
    <x:row r="2">
      <x:c r="A2" s="3" t="str">
        <x:v>Naive RevB 采购清单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2026-10-29  每台两块PCB的装配用量</x:v>
      </x:c>
      <x:c r="B3" s="2"/>
      <x:c r="C3" s="2"/>
      <x:c r="D3" s="2"/>
      <x:c r="E3" s="2"/>
      <x:c r="F3" s="2"/>
      <x:c r="G3" s="2" t="str">
        <x:v>不含PCB、FFC、SD卡、USB线、光学件及外壳。</x:v>
      </x:c>
      <x:c r="H3" s="2"/>
      <x:c r="I3" s="2"/>
      <x:c r="J3" s="2"/>
    </x:row>
    <x:row r="4">
      <x:c r="A4" s="2" t="str">
        <x:v>元件总数</x:v>
      </x:c>
      <x:c r="B4" s="2" t="n">
        <x:f>SUM('装配明细'!C7:C75)</x:f>
        <x:v>69</x:v>
      </x:c>
      <x:c r="C4" s="2"/>
      <x:c r="D4" s="2" t="str">
        <x:v>订货型号数</x:v>
      </x:c>
      <x:c r="E4" s="2" t="n">
        <x:v>39</x:v>
      </x:c>
      <x:c r="F4" s="2"/>
      <x:c r="G4" s="2" t="str">
        <x:v>MPN已明确；供货、装配与实测条件见各行。</x:v>
      </x:c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10" t="str">
        <x:v>完整订货号 MPN</x:v>
      </x:c>
      <x:c r="B6" s="10" t="str">
        <x:v>厂家</x:v>
      </x:c>
      <x:c r="C6" s="10" t="str">
        <x:v>数量</x:v>
      </x:c>
      <x:c r="D6" s="10" t="str">
        <x:v>元件值</x:v>
      </x:c>
      <x:c r="E6" s="10" t="str">
        <x:v>两板位号</x:v>
      </x:c>
      <x:c r="F6" s="10" t="str">
        <x:v>供货状态</x:v>
      </x:c>
      <x:c r="G6" s="10" t="str">
        <x:v>特殊采购与验收条件</x:v>
      </x:c>
      <x:c r="H6" s="2"/>
      <x:c r="I6" s="2"/>
      <x:c r="J6" s="2"/>
    </x:row>
    <x:row r="7" ht="54" customHeight="1">
      <x:c r="A7" s="5" t="str">
        <x:v>MPU-6050</x:v>
      </x:c>
      <x:c r="B7" s="5" t="str">
        <x:v>TDK InvenSense</x:v>
      </x:c>
      <x:c r="C7" s="6" t="n">
        <x:f>SUMIFS('装配明细'!$C$7:$C$75,'装配明细'!$E$7:$E$75,A7)</x:f>
        <x:v>1</x:v>
      </x:c>
      <x:c r="D7" s="4" t="str">
        <x:v>MPU6050</x:v>
      </x:c>
      <x:c r="E7" s="4" t="str">
        <x:v>主板: U3</x:v>
      </x:c>
      <x:c r="F7" s="4" t="str">
        <x:v>Obsolete（原厂）</x:v>
      </x:c>
      <x:c r="G7" s="4" t="str">
        <x:v>仅可追溯旧库存复刻；需来料功能检验；非持续量产供货方案</x:v>
      </x:c>
      <x:c r="H7" s="2"/>
      <x:c r="I7" s="2"/>
      <x:c r="J7" s="2"/>
    </x:row>
    <x:row r="8" ht="54" customHeight="1">
      <x:c r="A8" s="5" t="str">
        <x:v>ESP32-PICO-D4</x:v>
      </x:c>
      <x:c r="B8" s="5" t="str">
        <x:v>Espressif</x:v>
      </x:c>
      <x:c r="C8" s="6" t="n">
        <x:f>SUMIFS('装配明细'!$C$7:$C$75,'装配明细'!$E$7:$E$75,A8)</x:f>
        <x:v>1</x:v>
      </x:c>
      <x:c r="D8" s="4" t="str">
        <x:v>ESP32_SIP</x:v>
      </x:c>
      <x:c r="E8" s="4" t="str">
        <x:v>主板: U4</x:v>
      </x:c>
      <x:c r="F8" s="4" t="str">
        <x:v>NRND（原厂）</x:v>
      </x:c>
      <x:c r="G8" s="4" t="str">
        <x:v>PICO系列v1.5均NRND；保持D4，替代需重新设计；EP/paste/via按RevB受控封装</x:v>
      </x:c>
      <x:c r="H8" s="2"/>
      <x:c r="I8" s="2"/>
      <x:c r="J8" s="2"/>
    </x:row>
    <x:row r="9" ht="54" customHeight="1">
      <x:c r="A9" s="5" t="str">
        <x:v>BH1750FVI-TR</x:v>
      </x:c>
      <x:c r="B9" s="5" t="str">
        <x:v>ROHM</x:v>
      </x:c>
      <x:c r="C9" s="6" t="n">
        <x:f>SUMIFS('装配明细'!$C$7:$C$75,'装配明细'!$E$7:$E$75,A9)</x:f>
        <x:v>1</x:v>
      </x:c>
      <x:c r="D9" s="4" t="str">
        <x:v>BH1750FVI-TR</x:v>
      </x:c>
      <x:c r="E9" s="4" t="str">
        <x:v>主板: U5</x:v>
      </x:c>
      <x:c r="F9" s="4" t="str">
        <x:v>NRND（渠道，待原厂确认）</x:v>
      </x:c>
      <x:c r="G9" s="4" t="str">
        <x:v>WSOF6I；向原厂/授权渠道确认供货与追溯，不以模块代替裸IC</x:v>
      </x:c>
      <x:c r="H9" s="2"/>
      <x:c r="I9" s="2"/>
      <x:c r="J9" s="2"/>
    </x:row>
    <x:row r="10" ht="54" customHeight="1">
      <x:c r="A10" s="5" t="str">
        <x:v>P133H002</x:v>
      </x:c>
      <x:c r="B10" s="5" t="str">
        <x:v>POLCD</x:v>
      </x:c>
      <x:c r="C10" s="6" t="n">
        <x:f>SUMIFS('装配明细'!$C$7:$C$75,'装配明细'!$E$7:$E$75,A10)</x:f>
        <x:v>1</x:v>
      </x:c>
      <x:c r="D10" s="4" t="str">
        <x:v>P133H002</x:v>
      </x:c>
      <x:c r="E10" s="4" t="str">
        <x:v>屏板: LCD1</x:v>
      </x:c>
      <x:c r="F10" s="4" t="str">
        <x:v>电气候选，机械待验收</x:v>
      </x:c>
      <x:c r="G10" s="4" t="str">
        <x:v>12pin/0.7mm/ST7789V；5.5x0.5mm无F.Paste长焊盘，PCBA后手工焊FPC；仅核纵向落点，折弯/接触面/整壳仍待样件</x:v>
      </x:c>
      <x:c r="H10" s="2"/>
      <x:c r="I10" s="2"/>
      <x:c r="J10" s="2"/>
    </x:row>
    <x:row r="11" ht="54" customHeight="1">
      <x:c r="A11" s="5" t="str">
        <x:v>CA-C03</x:v>
      </x:c>
      <x:c r="B11" s="5" t="str">
        <x:v>CrossAir / 广州寒武纪</x:v>
      </x:c>
      <x:c r="C11" s="6" t="n">
        <x:f>SUMIFS('装配明细'!$C$7:$C$75,'装配明细'!$E$7:$E$75,A11)</x:f>
        <x:v>1</x:v>
      </x:c>
      <x:c r="D11" s="4" t="str">
        <x:v>CA-C03</x:v>
      </x:c>
      <x:c r="E11" s="4" t="str">
        <x:v>主板: A1</x:v>
      </x:c>
      <x:c r="F11" s="4" t="str">
        <x:v>厂家资料已核</x:v>
      </x:c>
      <x:c r="G11" s="4" t="str">
        <x:v>工程焊盘偏离厂家推荐尺寸；pin2固定端NC；需焊接、VNA及整壳RF验收</x:v>
      </x:c>
      <x:c r="H11" s="2"/>
      <x:c r="I11" s="2"/>
      <x:c r="J11" s="2"/>
    </x:row>
    <x:row r="12" ht="54" customHeight="1">
      <x:c r="A12" s="5" t="str">
        <x:v>104031-0811</x:v>
      </x:c>
      <x:c r="B12" s="5" t="str">
        <x:v>Molex</x:v>
      </x:c>
      <x:c r="C12" s="6" t="n">
        <x:f>SUMIFS('装配明细'!$C$7:$C$75,'装配明细'!$E$7:$E$75,A12)</x:f>
        <x:v>1</x:v>
      </x:c>
      <x:c r="D12" s="4" t="str">
        <x:v>104031-0811</x:v>
      </x:c>
      <x:c r="E12" s="4" t="str">
        <x:v>主板: J1</x:v>
      </x:c>
      <x:c r="F12" s="4" t="str">
        <x:v>Active（原厂）</x:v>
      </x:c>
      <x:c r="G12" s="4" t="str">
        <x:v>RevB2焊盘；检测9/10均GND未用；需插卡及保卡实测</x:v>
      </x:c>
      <x:c r="H12" s="2"/>
      <x:c r="I12" s="2"/>
      <x:c r="J12" s="2"/>
    </x:row>
    <x:row r="13" ht="54" customHeight="1">
      <x:c r="A13" s="5" t="str">
        <x:v>USB4105-GF-A</x:v>
      </x:c>
      <x:c r="B13" s="5" t="str">
        <x:v>GCT</x:v>
      </x:c>
      <x:c r="C13" s="6" t="n">
        <x:f>SUMIFS('装配明细'!$C$7:$C$75,'装配明细'!$E$7:$E$75,A13)</x:f>
        <x:v>1</x:v>
      </x:c>
      <x:c r="D13" s="4" t="str">
        <x:v>USB4105-GF-A</x:v>
      </x:c>
      <x:c r="E13" s="4" t="str">
        <x:v>主板: USB1</x:v>
      </x:c>
      <x:c r="F13" s="4" t="str">
        <x:v>厂家图纸已核</x:v>
      </x:c>
      <x:c r="G13" s="4" t="str">
        <x:v>按GF-A后缀和B4图采购；需USB数据、热插拔及壳口样件验收</x:v>
      </x:c>
      <x:c r="H13" s="2"/>
      <x:c r="I13" s="2"/>
      <x:c r="J13" s="2"/>
    </x:row>
    <x:row r="14" ht="54" customHeight="1">
      <x:c r="A14" s="5" t="str">
        <x:v>CP2102-GMR</x:v>
      </x:c>
      <x:c r="B14" s="5" t="str">
        <x:v>Silicon Labs</x:v>
      </x:c>
      <x:c r="C14" s="6" t="n">
        <x:f>SUMIFS('装配明细'!$C$7:$C$75,'装配明细'!$E$7:$E$75,A14)</x:f>
        <x:v>1</x:v>
      </x:c>
      <x:c r="D14" s="4" t="str">
        <x:v>CP2102</x:v>
      </x:c>
      <x:c r="E14" s="4" t="str">
        <x:v>主板: U1</x:v>
      </x:c>
      <x:c r="F14" s="4" t="str">
        <x:v>预计完整生产至少至2029-03</x:v>
      </x:c>
      <x:c r="G14" s="4" t="str">
        <x:v>经典CP2102 QFN28；核优选修订与可追溯批次，不以CP2102N替代</x:v>
      </x:c>
      <x:c r="H14" s="2"/>
      <x:c r="I14" s="2"/>
      <x:c r="J14" s="2"/>
    </x:row>
    <x:row r="15" ht="54" customHeight="1">
      <x:c r="A15" s="5" t="str">
        <x:v>AL5802-7</x:v>
      </x:c>
      <x:c r="B15" s="5" t="str">
        <x:v>Diodes Incorporated</x:v>
      </x:c>
      <x:c r="C15" s="6" t="n">
        <x:f>SUMIFS('装配明细'!$C$7:$C$75,'装配明细'!$E$7:$E$75,A15)</x:f>
        <x:v>1</x:v>
      </x:c>
      <x:c r="D15" s="4" t="str">
        <x:v>AL5802</x:v>
      </x:c>
      <x:c r="E15" s="4" t="str">
        <x:v>屏板: U1</x:v>
      </x:c>
      <x:c r="F15" s="4" t="str">
        <x:v>未单独核验生命周期</x:v>
      </x:c>
      <x:c r="G15" s="4" t="str">
        <x:v>SOT26恒流驱动；27ohm设约24mA典型值，须测实物背光电流</x:v>
      </x:c>
      <x:c r="H15" s="2"/>
      <x:c r="I15" s="2"/>
      <x:c r="J15" s="2"/>
    </x:row>
    <x:row r="16" ht="54" customHeight="1">
      <x:c r="A16" s="5" t="str">
        <x:v>AO3400A</x:v>
      </x:c>
      <x:c r="B16" s="5" t="str">
        <x:v>Alpha &amp; Omega Semiconductor</x:v>
      </x:c>
      <x:c r="C16" s="6" t="n">
        <x:f>SUMIFS('装配明细'!$C$7:$C$75,'装配明细'!$E$7:$E$75,A16)</x:f>
        <x:v>1</x:v>
      </x:c>
      <x:c r="D16" s="4" t="str">
        <x:v>AO3400A</x:v>
      </x:c>
      <x:c r="E16" s="4" t="str">
        <x:v>屏板: Q1</x:v>
      </x:c>
      <x:c r="F16" s="4" t="str">
        <x:v>未单独核验生命周期</x:v>
      </x:c>
      <x:c r="G16" s="4" t="str">
        <x:v>G1/S2/D3逻辑NMOS；不可用NPN替代，以免加载GPIO5启动strap</x:v>
      </x:c>
      <x:c r="H16" s="2"/>
      <x:c r="I16" s="2"/>
      <x:c r="J16" s="2"/>
    </x:row>
    <x:row r="17" ht="54" customHeight="1">
      <x:c r="A17" s="5" t="str">
        <x:v>FH12-8S-0.5SH(55)</x:v>
      </x:c>
      <x:c r="B17" s="5" t="str">
        <x:v>Hirose</x:v>
      </x:c>
      <x:c r="C17" s="6" t="n">
        <x:f>SUMIFS('装配明细'!$C$7:$C$75,'装配明细'!$E$7:$E$75,A17)</x:f>
        <x:v>2</x:v>
      </x:c>
      <x:c r="D17" s="4" t="str">
        <x:v>FH12-8S-0.5SH(55)</x:v>
      </x:c>
      <x:c r="E17" s="4" t="str">
        <x:v>主板: CON1
屏板: CON1</x:v>
      </x:c>
      <x:c r="F17" s="4" t="str">
        <x:v>厂家图纸已核</x:v>
      </x:c>
      <x:c r="G17" s="4" t="str">
        <x:v>8P / 0.5mm / 0.3mm厚FFC，bottom contact；排线接触面及长度另行锁定</x:v>
      </x:c>
      <x:c r="H17" s="2"/>
      <x:c r="I17" s="2"/>
      <x:c r="J17" s="2"/>
    </x:row>
    <x:row r="18" ht="54" customHeight="1">
      <x:c r="A18" s="5" t="str">
        <x:v>GRM21BR61E226ME44L</x:v>
      </x:c>
      <x:c r="B18" s="5" t="str">
        <x:v>Murata</x:v>
      </x:c>
      <x:c r="C18" s="6" t="n">
        <x:f>SUMIFS('装配明细'!$C$7:$C$75,'装配明细'!$E$7:$E$75,A18)</x:f>
        <x:v>4</x:v>
      </x:c>
      <x:c r="D18" s="4" t="str">
        <x:v>22uF</x:v>
      </x:c>
      <x:c r="E18" s="4" t="str">
        <x:v>主板: C2, C3, C4, C13</x:v>
      </x:c>
      <x:c r="F18" s="4" t="str">
        <x:v>原理图已选完整MPN</x:v>
      </x:c>
      <x:c r="G18" s="4" t="str">
        <x:v>22uF/25V0805；3V3典型有效约13–15uF，非保证下限
22uF/25V0805；5V典型有效约10–11uF，非保证下限</x:v>
      </x:c>
      <x:c r="H18" s="2"/>
      <x:c r="I18" s="2"/>
      <x:c r="J18" s="2"/>
    </x:row>
    <x:row r="19" ht="54" customHeight="1">
      <x:c r="A19" s="5" t="str">
        <x:v>GRM155R61A475MEAAD</x:v>
      </x:c>
      <x:c r="B19" s="5" t="str">
        <x:v>Murata</x:v>
      </x:c>
      <x:c r="C19" s="6" t="n">
        <x:f>SUMIFS('装配明细'!$C$7:$C$75,'装配明细'!$E$7:$E$75,A19)</x:f>
        <x:v>1</x:v>
      </x:c>
      <x:c r="D19" s="4" t="str">
        <x:v>4.7uF</x:v>
      </x:c>
      <x:c r="E19" s="4" t="str">
        <x:v>主板: C20</x:v>
      </x:c>
      <x:c r="F19" s="4" t="str">
        <x:v>原理图已选完整MPN</x:v>
      </x:c>
      <x:c r="G19" s="4" t="str">
        <x:v>4.7uF/10V/X5R0402；5V典型约1.88uF、5.5V约1.7uF；非保证下限，量产须采样</x:v>
      </x:c>
      <x:c r="H19" s="2"/>
      <x:c r="I19" s="2"/>
      <x:c r="J19" s="2"/>
    </x:row>
    <x:row r="20" ht="54" customHeight="1">
      <x:c r="A20" s="5" t="str">
        <x:v>GRM155R61C105KA12D</x:v>
      </x:c>
      <x:c r="B20" s="5" t="str">
        <x:v>Murata</x:v>
      </x:c>
      <x:c r="C20" s="6" t="n">
        <x:f>SUMIFS('装配明细'!$C$7:$C$75,'装配明细'!$E$7:$E$75,A20)</x:f>
        <x:v>2</x:v>
      </x:c>
      <x:c r="D20" s="4" t="str">
        <x:v>1uF</x:v>
      </x:c>
      <x:c r="E20" s="4" t="str">
        <x:v>主板: C7, C15</x:v>
      </x:c>
      <x:c r="F20" s="4" t="str">
        <x:v>原理图已选完整MPN</x:v>
      </x:c>
      <x:c r="G20" s="4" t="str">
        <x:v>1uF/16V0402；3V3典型有效约0.55uF，EN实际复位时序须测
入口1uF/16V0402；5V典型有效约0.35uF；热插拔时序须测</x:v>
      </x:c>
      <x:c r="H20" s="2"/>
      <x:c r="I20" s="2"/>
      <x:c r="J20" s="2"/>
    </x:row>
    <x:row r="21" ht="54" customHeight="1">
      <x:c r="A21" s="5" t="str">
        <x:v>GRM155R71C104KA88D</x:v>
      </x:c>
      <x:c r="B21" s="5" t="str">
        <x:v>Murata</x:v>
      </x:c>
      <x:c r="C21" s="6" t="n">
        <x:f>SUMIFS('装配明细'!$C$7:$C$75,'装配明细'!$E$7:$E$75,A21)</x:f>
        <x:v>12</x:v>
      </x:c>
      <x:c r="D21" s="4" t="str">
        <x:v>100nF / 0.1uF</x:v>
      </x:c>
      <x:c r="E21" s="4" t="str">
        <x:v>主板: C1, C5, C8, C10, C11, C17, C18, C21, C22, C23
屏板: C1, C3</x:v>
      </x:c>
      <x:c r="F21" s="4" t="str">
        <x:v>原理图已选完整MPN</x:v>
      </x:c>
      <x:c r="G21" s="4" t="str">
        <x:v>MLCC标称值不代表工作偏压下有效值</x:v>
      </x:c>
      <x:c r="H21" s="2"/>
      <x:c r="I21" s="2"/>
      <x:c r="J21" s="2"/>
    </x:row>
    <x:row r="22" ht="54" customHeight="1">
      <x:c r="A22" s="5" t="str">
        <x:v>GRM155R71H103KA88D</x:v>
      </x:c>
      <x:c r="B22" s="5" t="str">
        <x:v>Murata</x:v>
      </x:c>
      <x:c r="C22" s="6" t="n">
        <x:f>SUMIFS('装配明细'!$C$7:$C$75,'装配明细'!$E$7:$E$75,A22)</x:f>
        <x:v>1</x:v>
      </x:c>
      <x:c r="D22" s="4" t="str">
        <x:v>10nF</x:v>
      </x:c>
      <x:c r="E22" s="4" t="str">
        <x:v>主板: C6</x:v>
      </x:c>
      <x:c r="F22" s="4" t="str">
        <x:v>原理图已选完整MPN</x:v>
      </x:c>
      <x:c r="G22" s="4" t="str">
        <x:v>MLCC标称值不代表工作偏压下有效值</x:v>
      </x:c>
      <x:c r="H22" s="2"/>
      <x:c r="I22" s="2"/>
      <x:c r="J22" s="2"/>
    </x:row>
    <x:row r="23" ht="54" customHeight="1">
      <x:c r="A23" s="5" t="str">
        <x:v>GRM188R61A475KE15D</x:v>
      </x:c>
      <x:c r="B23" s="5" t="str">
        <x:v>Murata</x:v>
      </x:c>
      <x:c r="C23" s="6" t="n">
        <x:f>SUMIFS('装配明细'!$C$7:$C$75,'装配明细'!$E$7:$E$75,A23)</x:f>
        <x:v>1</x:v>
      </x:c>
      <x:c r="D23" s="4" t="str">
        <x:v>4.7uF</x:v>
      </x:c>
      <x:c r="E23" s="4" t="str">
        <x:v>屏板: C2</x:v>
      </x:c>
      <x:c r="F23" s="4" t="str">
        <x:v>原理图已选完整MPN</x:v>
      </x:c>
      <x:c r="G23" s="4" t="str">
        <x:v>MLCC标称值不代表工作偏压下有效值</x:v>
      </x:c>
      <x:c r="H23" s="2"/>
      <x:c r="I23" s="2"/>
      <x:c r="J23" s="2"/>
    </x:row>
    <x:row r="24" ht="54" customHeight="1">
      <x:c r="A24" s="5" t="str">
        <x:v>GRM188R71A105KA61D</x:v>
      </x:c>
      <x:c r="B24" s="5" t="str">
        <x:v>Murata</x:v>
      </x:c>
      <x:c r="C24" s="6" t="n">
        <x:f>SUMIFS('装配明细'!$C$7:$C$75,'装配明细'!$E$7:$E$75,A24)</x:f>
        <x:v>1</x:v>
      </x:c>
      <x:c r="D24" s="4" t="str">
        <x:v>1uF</x:v>
      </x:c>
      <x:c r="E24" s="4" t="str">
        <x:v>屏板: C4</x:v>
      </x:c>
      <x:c r="F24" s="4" t="str">
        <x:v>原理图已选完整MPN</x:v>
      </x:c>
      <x:c r="G24" s="4" t="str">
        <x:v>MLCC标称值不代表工作偏压下有效值</x:v>
      </x:c>
      <x:c r="H24" s="2"/>
      <x:c r="I24" s="2"/>
      <x:c r="J24" s="2"/>
    </x:row>
    <x:row r="25" ht="54" customHeight="1">
      <x:c r="A25" s="5" t="str">
        <x:v>GRM188R71C105KA12D</x:v>
      </x:c>
      <x:c r="B25" s="5" t="str">
        <x:v>Murata</x:v>
      </x:c>
      <x:c r="C25" s="6" t="n">
        <x:f>SUMIFS('装配明细'!$C$7:$C$75,'装配明细'!$E$7:$E$75,A25)</x:f>
        <x:v>1</x:v>
      </x:c>
      <x:c r="D25" s="4" t="str">
        <x:v>1uF</x:v>
      </x:c>
      <x:c r="E25" s="4" t="str">
        <x:v>主板: C24</x:v>
      </x:c>
      <x:c r="F25" s="4" t="str">
        <x:v>原理图已选完整MPN</x:v>
      </x:c>
      <x:c r="G25" s="4" t="str">
        <x:v>MLCC标称值不代表工作偏压下有效值</x:v>
      </x:c>
      <x:c r="H25" s="2"/>
      <x:c r="I25" s="2"/>
      <x:c r="J25" s="2"/>
    </x:row>
    <x:row r="26" ht="54" customHeight="1">
      <x:c r="A26" s="5" t="str">
        <x:v>GRM1555C1H101JA01D</x:v>
      </x:c>
      <x:c r="B26" s="5" t="str">
        <x:v>Murata</x:v>
      </x:c>
      <x:c r="C26" s="6" t="n">
        <x:f>SUMIFS('装配明细'!$C$7:$C$75,'装配明细'!$E$7:$E$75,A26)</x:f>
        <x:v>1</x:v>
      </x:c>
      <x:c r="D26" s="4" t="str">
        <x:v>100pF</x:v>
      </x:c>
      <x:c r="E26" s="4" t="str">
        <x:v>主板: C16</x:v>
      </x:c>
      <x:c r="F26" s="4" t="str">
        <x:v>原理图已选完整MPN</x:v>
      </x:c>
      <x:c r="G26" s="4" t="str">
        <x:v>100pF/50V/C0G±5%0402；TI Eq3估算约0.425ms@5V，非最大值保证；CP_VDD到2.7V≤1ms、热插拔与入口电流须实测</x:v>
      </x:c>
      <x:c r="H26" s="2"/>
      <x:c r="I26" s="2"/>
      <x:c r="J26" s="2"/>
    </x:row>
    <x:row r="27" ht="54" customHeight="1">
      <x:c r="A27" s="5" t="str">
        <x:v>GRM1555C1H222JA01D</x:v>
      </x:c>
      <x:c r="B27" s="5" t="str">
        <x:v>Murata</x:v>
      </x:c>
      <x:c r="C27" s="6" t="n">
        <x:f>SUMIFS('装配明细'!$C$7:$C$75,'装配明细'!$E$7:$E$75,A27)</x:f>
        <x:v>1</x:v>
      </x:c>
      <x:c r="D27" s="4" t="str">
        <x:v>2.2nF</x:v>
      </x:c>
      <x:c r="E27" s="4" t="str">
        <x:v>主板: C9</x:v>
      </x:c>
      <x:c r="F27" s="4" t="str">
        <x:v>原理图已选完整MPN</x:v>
      </x:c>
      <x:c r="G27" s="4" t="str">
        <x:v>MLCC标称值不代表工作偏压下有效值</x:v>
      </x:c>
      <x:c r="H27" s="2"/>
      <x:c r="I27" s="2"/>
      <x:c r="J27" s="2"/>
    </x:row>
    <x:row r="28" ht="54" customHeight="1">
      <x:c r="A28" s="5" t="str">
        <x:v>MMBT3904-7-F</x:v>
      </x:c>
      <x:c r="B28" s="5" t="str">
        <x:v>Diodes Incorporated</x:v>
      </x:c>
      <x:c r="C28" s="6" t="n">
        <x:f>SUMIFS('装配明细'!$C$7:$C$75,'装配明细'!$E$7:$E$75,A28)</x:f>
        <x:v>2</x:v>
      </x:c>
      <x:c r="D28" s="4" t="str">
        <x:v>MMBT3904-7-F</x:v>
      </x:c>
      <x:c r="E28" s="4" t="str">
        <x:v>主板: VT1, VT2</x:v>
      </x:c>
      <x:c r="F28" s="4" t="str">
        <x:v>厂家图纸已核</x:v>
      </x:c>
      <x:c r="G28" s="4" t="str">
        <x:v>B1/E2/C3；按Diodes受控SOT23焊盘，不任意替换不同引脚8050</x:v>
      </x:c>
      <x:c r="H28" s="2"/>
      <x:c r="I28" s="2"/>
      <x:c r="J28" s="2"/>
    </x:row>
    <x:row r="29" ht="54" customHeight="1">
      <x:c r="A29" s="5" t="str">
        <x:v>RC0402FR-071KL</x:v>
      </x:c>
      <x:c r="B29" s="5" t="str">
        <x:v>YAGEO</x:v>
      </x:c>
      <x:c r="C29" s="6" t="n">
        <x:f>SUMIFS('装配明细'!$C$7:$C$75,'装配明细'!$E$7:$E$75,A29)</x:f>
        <x:v>2</x:v>
      </x:c>
      <x:c r="D29" s="4" t="str">
        <x:v>1k</x:v>
      </x:c>
      <x:c r="E29" s="4" t="str">
        <x:v>主板: R11
屏板: R1</x:v>
      </x:c>
      <x:c r="F29" s="4" t="str">
        <x:v>未单独核验生命周期</x:v>
      </x:c>
      <x:c r="G29" s="4" t="str"/>
      <x:c r="H29" s="2"/>
      <x:c r="I29" s="2"/>
      <x:c r="J29" s="2"/>
    </x:row>
    <x:row r="30" ht="54" customHeight="1">
      <x:c r="A30" s="5" t="str">
        <x:v>RC0402FR-074K7L</x:v>
      </x:c>
      <x:c r="B30" s="5" t="str">
        <x:v>YAGEO</x:v>
      </x:c>
      <x:c r="C30" s="6" t="n">
        <x:f>SUMIFS('装配明细'!$C$7:$C$75,'装配明细'!$E$7:$E$75,A30)</x:f>
        <x:v>2</x:v>
      </x:c>
      <x:c r="D30" s="4" t="str">
        <x:v>4.7k</x:v>
      </x:c>
      <x:c r="E30" s="4" t="str">
        <x:v>主板: R14, R15</x:v>
      </x:c>
      <x:c r="F30" s="4" t="str">
        <x:v>未单独核验生命周期</x:v>
      </x:c>
      <x:c r="G30" s="4" t="str"/>
      <x:c r="H30" s="2"/>
      <x:c r="I30" s="2"/>
      <x:c r="J30" s="2"/>
    </x:row>
    <x:row r="31" ht="54" customHeight="1">
      <x:c r="A31" s="5" t="str">
        <x:v>RC0402FR-075K1L</x:v>
      </x:c>
      <x:c r="B31" s="5" t="str">
        <x:v>YAGEO</x:v>
      </x:c>
      <x:c r="C31" s="6" t="n">
        <x:f>SUMIFS('装配明细'!$C$7:$C$75,'装配明细'!$E$7:$E$75,A31)</x:f>
        <x:v>2</x:v>
      </x:c>
      <x:c r="D31" s="4" t="str">
        <x:v>5.1k</x:v>
      </x:c>
      <x:c r="E31" s="4" t="str">
        <x:v>主板: R12, R13</x:v>
      </x:c>
      <x:c r="F31" s="4" t="str">
        <x:v>未单独核验生命周期</x:v>
      </x:c>
      <x:c r="G31" s="4" t="str"/>
      <x:c r="H31" s="2"/>
      <x:c r="I31" s="2"/>
      <x:c r="J31" s="2"/>
    </x:row>
    <x:row r="32" ht="54" customHeight="1">
      <x:c r="A32" s="5" t="str">
        <x:v>RC0402FR-0710KL</x:v>
      </x:c>
      <x:c r="B32" s="5" t="str">
        <x:v>YAGEO</x:v>
      </x:c>
      <x:c r="C32" s="6" t="n">
        <x:f>SUMIFS('装配明细'!$C$7:$C$75,'装配明细'!$E$7:$E$75,A32)</x:f>
        <x:v>8</x:v>
      </x:c>
      <x:c r="D32" s="4" t="str">
        <x:v>10K / 10k</x:v>
      </x:c>
      <x:c r="E32" s="4" t="str">
        <x:v>主板: R1, R6, R7, R8, R9, R10, R16, R17</x:v>
      </x:c>
      <x:c r="F32" s="4" t="str">
        <x:v>未单独核验生命周期</x:v>
      </x:c>
      <x:c r="G32" s="4" t="str"/>
      <x:c r="H32" s="2"/>
      <x:c r="I32" s="2"/>
      <x:c r="J32" s="2"/>
    </x:row>
    <x:row r="33" ht="54" customHeight="1">
      <x:c r="A33" s="5" t="str">
        <x:v>RC0402FR-0712KL</x:v>
      </x:c>
      <x:c r="B33" s="5" t="str">
        <x:v>YAGEO</x:v>
      </x:c>
      <x:c r="C33" s="6" t="n">
        <x:f>SUMIFS('装配明细'!$C$7:$C$75,'装配明细'!$E$7:$E$75,A33)</x:f>
        <x:v>2</x:v>
      </x:c>
      <x:c r="D33" s="4" t="str">
        <x:v>12K</x:v>
      </x:c>
      <x:c r="E33" s="4" t="str">
        <x:v>主板: R4, R5</x:v>
      </x:c>
      <x:c r="F33" s="4" t="str">
        <x:v>未单独核验生命周期</x:v>
      </x:c>
      <x:c r="G33" s="4" t="str"/>
      <x:c r="H33" s="2"/>
      <x:c r="I33" s="2"/>
      <x:c r="J33" s="2"/>
    </x:row>
    <x:row r="34" ht="54" customHeight="1">
      <x:c r="A34" s="5" t="str">
        <x:v>RC0402FR-0733RL</x:v>
      </x:c>
      <x:c r="B34" s="5" t="str">
        <x:v>YAGEO</x:v>
      </x:c>
      <x:c r="C34" s="6" t="n">
        <x:f>SUMIFS('装配明细'!$C$7:$C$75,'装配明细'!$E$7:$E$75,A34)</x:f>
        <x:v>1</x:v>
      </x:c>
      <x:c r="D34" s="4" t="str">
        <x:v>33</x:v>
      </x:c>
      <x:c r="E34" s="4" t="str">
        <x:v>主板: R20</x:v>
      </x:c>
      <x:c r="F34" s="4" t="str">
        <x:v>未单独核验生命周期</x:v>
      </x:c>
      <x:c r="G34" s="4" t="str"/>
      <x:c r="H34" s="2"/>
      <x:c r="I34" s="2"/>
      <x:c r="J34" s="2"/>
    </x:row>
    <x:row r="35" ht="54" customHeight="1">
      <x:c r="A35" s="5" t="str">
        <x:v>RC0402FR-07100KL</x:v>
      </x:c>
      <x:c r="B35" s="5" t="str">
        <x:v>YAGEO</x:v>
      </x:c>
      <x:c r="C35" s="6" t="n">
        <x:f>SUMIFS('装配明细'!$C$7:$C$75,'装配明细'!$E$7:$E$75,A35)</x:f>
        <x:v>3</x:v>
      </x:c>
      <x:c r="D35" s="4" t="str">
        <x:v>100k</x:v>
      </x:c>
      <x:c r="E35" s="4" t="str">
        <x:v>主板: R18, R19
屏板: R3</x:v>
      </x:c>
      <x:c r="F35" s="4" t="str">
        <x:v>未单独核验生命周期</x:v>
      </x:c>
      <x:c r="G35" s="4" t="str"/>
      <x:c r="H35" s="2"/>
      <x:c r="I35" s="2"/>
      <x:c r="J35" s="2"/>
    </x:row>
    <x:row r="36" ht="54" customHeight="1">
      <x:c r="A36" s="5" t="str">
        <x:v>RC0402FR-07200RL</x:v>
      </x:c>
      <x:c r="B36" s="5" t="str">
        <x:v>YAGEO</x:v>
      </x:c>
      <x:c r="C36" s="6" t="n">
        <x:f>SUMIFS('装配明细'!$C$7:$C$75,'装配明细'!$E$7:$E$75,A36)</x:f>
        <x:v>1</x:v>
      </x:c>
      <x:c r="D36" s="4" t="str">
        <x:v>200R</x:v>
      </x:c>
      <x:c r="E36" s="4" t="str">
        <x:v>主板: R3</x:v>
      </x:c>
      <x:c r="F36" s="4" t="str">
        <x:v>未单独核验生命周期</x:v>
      </x:c>
      <x:c r="G36" s="4" t="str"/>
      <x:c r="H36" s="2"/>
      <x:c r="I36" s="2"/>
      <x:c r="J36" s="2"/>
    </x:row>
    <x:row r="37" ht="54" customHeight="1">
      <x:c r="A37" s="5" t="str">
        <x:v>RC0402JR-070RL</x:v>
      </x:c>
      <x:c r="B37" s="5" t="str">
        <x:v>YAGEO</x:v>
      </x:c>
      <x:c r="C37" s="6" t="n">
        <x:f>SUMIFS('装配明细'!$C$7:$C$75,'装配明细'!$E$7:$E$75,A37)</x:f>
        <x:v>1</x:v>
      </x:c>
      <x:c r="D37" s="4" t="str">
        <x:v>0</x:v>
      </x:c>
      <x:c r="E37" s="4" t="str">
        <x:v>主板: R2</x:v>
      </x:c>
      <x:c r="F37" s="4" t="str">
        <x:v>未单独核验生命周期</x:v>
      </x:c>
      <x:c r="G37" s="4" t="str">
        <x:v>0ohm0402，型号额定1A；3V3A支路按ESP≤500mA设计分配</x:v>
      </x:c>
      <x:c r="H37" s="2"/>
      <x:c r="I37" s="2"/>
      <x:c r="J37" s="2"/>
    </x:row>
    <x:row r="38" ht="54" customHeight="1">
      <x:c r="A38" s="5" t="str">
        <x:v>RC0603FR-0727RL</x:v>
      </x:c>
      <x:c r="B38" s="5" t="str">
        <x:v>YAGEO</x:v>
      </x:c>
      <x:c r="C38" s="6" t="n">
        <x:f>SUMIFS('装配明细'!$C$7:$C$75,'装配明细'!$E$7:$E$75,A38)</x:f>
        <x:v>1</x:v>
      </x:c>
      <x:c r="D38" s="4" t="str">
        <x:v>27</x:v>
      </x:c>
      <x:c r="E38" s="4" t="str">
        <x:v>屏板: R2</x:v>
      </x:c>
      <x:c r="F38" s="4" t="str">
        <x:v>未单独核验生命周期</x:v>
      </x:c>
      <x:c r="G38" s="4" t="str"/>
      <x:c r="H38" s="2"/>
      <x:c r="I38" s="2"/>
      <x:c r="J38" s="2"/>
    </x:row>
    <x:row r="39" ht="54" customHeight="1">
      <x:c r="A39" s="5" t="str">
        <x:v>SN74AHCT1G125DCKR</x:v>
      </x:c>
      <x:c r="B39" s="5" t="str">
        <x:v>Texas Instruments</x:v>
      </x:c>
      <x:c r="C39" s="6" t="n">
        <x:f>SUMIFS('装配明细'!$C$7:$C$75,'装配明细'!$E$7:$E$75,A39)</x:f>
        <x:v>1</x:v>
      </x:c>
      <x:c r="D39" s="4" t="str">
        <x:v>SN74AHCT1G125DCKR</x:v>
      </x:c>
      <x:c r="E39" s="4" t="str">
        <x:v>主板: U8</x:v>
      </x:c>
      <x:c r="F39" s="4" t="str">
        <x:v>Active（原厂）</x:v>
      </x:c>
      <x:c r="G39" s="4" t="str">
        <x:v>保持完整封装后缀与引脚定义</x:v>
      </x:c>
      <x:c r="H39" s="2"/>
      <x:c r="I39" s="2"/>
      <x:c r="J39" s="2"/>
    </x:row>
    <x:row r="40" ht="54" customHeight="1">
      <x:c r="A40" s="5" t="str">
        <x:v>TPD1E10B06DPYR</x:v>
      </x:c>
      <x:c r="B40" s="5" t="str">
        <x:v>Texas Instruments</x:v>
      </x:c>
      <x:c r="C40" s="6" t="n">
        <x:f>SUMIFS('装配明细'!$C$7:$C$75,'装配明细'!$E$7:$E$75,A40)</x:f>
        <x:v>1</x:v>
      </x:c>
      <x:c r="D40" s="4" t="str">
        <x:v>TPD1E10B06DPYR</x:v>
      </x:c>
      <x:c r="E40" s="4" t="str">
        <x:v>主板: D2</x:v>
      </x:c>
      <x:c r="F40" s="4" t="str">
        <x:v>Active（原厂）</x:v>
      </x:c>
      <x:c r="G40" s="4" t="str">
        <x:v>保持完整封装后缀与引脚定义</x:v>
      </x:c>
      <x:c r="H40" s="2"/>
      <x:c r="I40" s="2"/>
      <x:c r="J40" s="2"/>
    </x:row>
    <x:row r="41" ht="54" customHeight="1">
      <x:c r="A41" s="5" t="str">
        <x:v>TPD4E05U06DQAR</x:v>
      </x:c>
      <x:c r="B41" s="5" t="str">
        <x:v>Texas Instruments</x:v>
      </x:c>
      <x:c r="C41" s="6" t="n">
        <x:f>SUMIFS('装配明细'!$C$7:$C$75,'装配明细'!$E$7:$E$75,A41)</x:f>
        <x:v>1</x:v>
      </x:c>
      <x:c r="D41" s="4" t="str">
        <x:v>TPD4E05U06DQAR</x:v>
      </x:c>
      <x:c r="E41" s="4" t="str">
        <x:v>主板: U7</x:v>
      </x:c>
      <x:c r="F41" s="4" t="str">
        <x:v>Active（原厂）</x:v>
      </x:c>
      <x:c r="G41" s="4" t="str">
        <x:v>保持完整封装后缀与引脚定义</x:v>
      </x:c>
      <x:c r="H41" s="2"/>
      <x:c r="I41" s="2"/>
      <x:c r="J41" s="2"/>
    </x:row>
    <x:row r="42" ht="54" customHeight="1">
      <x:c r="A42" s="5" t="str">
        <x:v>TPS22918DBVR</x:v>
      </x:c>
      <x:c r="B42" s="5" t="str">
        <x:v>Texas Instruments</x:v>
      </x:c>
      <x:c r="C42" s="6" t="n">
        <x:f>SUMIFS('装配明细'!$C$7:$C$75,'装配明细'!$E$7:$E$75,A42)</x:f>
        <x:v>1</x:v>
      </x:c>
      <x:c r="D42" s="4" t="str">
        <x:v>TPS22918DBVR</x:v>
      </x:c>
      <x:c r="E42" s="4" t="str">
        <x:v>主板: U6</x:v>
      </x:c>
      <x:c r="F42" s="4" t="str">
        <x:v>Active（原厂）</x:v>
      </x:c>
      <x:c r="G42" s="4" t="str">
        <x:v>保持完整封装后缀与引脚定义</x:v>
      </x:c>
      <x:c r="H42" s="2"/>
      <x:c r="I42" s="2"/>
      <x:c r="J42" s="2"/>
    </x:row>
    <x:row r="43" ht="54" customHeight="1">
      <x:c r="A43" s="5" t="str">
        <x:v>TPS62162DSGR</x:v>
      </x:c>
      <x:c r="B43" s="5" t="str">
        <x:v>Texas Instruments</x:v>
      </x:c>
      <x:c r="C43" s="6" t="n">
        <x:f>SUMIFS('装配明细'!$C$7:$C$75,'装配明细'!$E$7:$E$75,A43)</x:f>
        <x:v>1</x:v>
      </x:c>
      <x:c r="D43" s="4" t="str">
        <x:v>TPS62162DSGR</x:v>
      </x:c>
      <x:c r="E43" s="4" t="str">
        <x:v>主板: U2</x:v>
      </x:c>
      <x:c r="F43" s="4" t="str">
        <x:v>Active（原厂）</x:v>
      </x:c>
      <x:c r="G43" s="4" t="str">
        <x:v>保持完整封装后缀与引脚定义</x:v>
      </x:c>
      <x:c r="H43" s="2"/>
      <x:c r="I43" s="2"/>
      <x:c r="J43" s="2"/>
    </x:row>
    <x:row r="44" ht="54" customHeight="1">
      <x:c r="A44" s="5" t="str">
        <x:v>VLS3012HBX-2R2M-N</x:v>
      </x:c>
      <x:c r="B44" s="5" t="str">
        <x:v>TDK</x:v>
      </x:c>
      <x:c r="C44" s="6" t="n">
        <x:f>SUMIFS('装配明细'!$C$7:$C$75,'装配明细'!$E$7:$E$75,A44)</x:f>
        <x:v>1</x:v>
      </x:c>
      <x:c r="D44" s="4" t="str">
        <x:v>2.2uH</x:v>
      </x:c>
      <x:c r="E44" s="4" t="str">
        <x:v>主板: L1</x:v>
      </x:c>
      <x:c r="F44" s="4" t="str">
        <x:v>未单独核验生命周期</x:v>
      </x:c>
      <x:c r="G44" s="4" t="str">
        <x:v>2.2uH；完整HBX/-N订货号，电感饱和及温升按供电实测验收</x:v>
      </x:c>
      <x:c r="H44" s="2"/>
      <x:c r="I44" s="2"/>
      <x:c r="J44" s="2"/>
    </x:row>
    <x:row r="45" ht="54" customHeight="1">
      <x:c r="A45" s="5" t="str">
        <x:v>WS2812B-V5/W</x:v>
      </x:c>
      <x:c r="B45" s="5" t="str">
        <x:v>Worldsemi</x:v>
      </x:c>
      <x:c r="C45" s="6" t="n">
        <x:f>SUMIFS('装配明细'!$C$7:$C$75,'装配明细'!$E$7:$E$75,A45)</x:f>
        <x:v>1</x:v>
      </x:c>
      <x:c r="D45" s="4" t="str">
        <x:v>WS2812B-V5/W</x:v>
      </x:c>
      <x:c r="E45" s="4" t="str">
        <x:v>主板: D1</x:v>
      </x:c>
      <x:c r="F45" s="4" t="str">
        <x:v>厂家资料已核</x:v>
      </x:c>
      <x:c r="G45" s="4" t="str">
        <x:v>完整V5/W版本；1VDD/2DOUT/3GND/4DIN；5V供电及AHCT缓冲</x:v>
      </x:c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</x:sheetData>
  <x:conditionalFormatting sqref="F7:F45">
    <x:cfRule type="containsText" dxfId="0" priority="1" operator="containsText" text="Obsolete"/>
    <x:cfRule type="containsText" dxfId="1" priority="2" operator="containsText" text="NRND"/>
    <x:cfRule type="containsText" dxfId="2" priority="3" operator="containsText" text="待验收"/>
  </x:conditionalFormatting>
  <x:pageMargins left="0.7" right="0.7" top="0.75" bottom="0.75" header="0.3" footer="0.3"/>
  <x:tableParts count="1">
    <x:tablePart xmlns:r="http://schemas.openxmlformats.org/officeDocument/2006/relationships" r:id="R745ed9cb43db48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8" hidden="0" customWidth="1"/>
    <x:col min="4" max="4" width="18" hidden="0" customWidth="1"/>
    <x:col min="5" max="5" width="29" hidden="0" customWidth="1"/>
    <x:col min="6" max="6" width="23" hidden="0" customWidth="1"/>
    <x:col min="7" max="7" width="45" hidden="0" customWidth="1"/>
    <x:col min="8" max="8" width="30" hidden="0" customWidth="1"/>
    <x:col min="9" max="9" width="75" hidden="0" customWidth="1"/>
    <x:col min="10" max="10" width="82" hidden="0" customWidth="1"/>
  </x:cols>
  <x:sheetData>
    <x:row r="2">
      <x:c r="A2" s="3" t="str">
        <x:v>Naive RevB 装配明细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2026-10-29  每行对应一个实际位号，数量单位：件/台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来源：两板原生KiCad原理图MPN字段与受控manifest；特殊状态的原厂证据见J列。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10" t="str">
        <x:v>板卡</x:v>
      </x:c>
      <x:c r="B6" s="10" t="str">
        <x:v>位号</x:v>
      </x:c>
      <x:c r="C6" s="10" t="str">
        <x:v>数量</x:v>
      </x:c>
      <x:c r="D6" s="10" t="str">
        <x:v>元件值</x:v>
      </x:c>
      <x:c r="E6" s="10" t="str">
        <x:v>完整订货号 MPN</x:v>
      </x:c>
      <x:c r="F6" s="10" t="str">
        <x:v>厂家</x:v>
      </x:c>
      <x:c r="G6" s="10" t="str">
        <x:v>本地受控封装</x:v>
      </x:c>
      <x:c r="H6" s="10" t="str">
        <x:v>供货状态</x:v>
      </x:c>
      <x:c r="I6" s="10" t="str">
        <x:v>特殊采购与验收条件</x:v>
      </x:c>
      <x:c r="J6" s="10" t="str">
        <x:v>资料来源</x:v>
      </x:c>
    </x:row>
    <x:row r="7" ht="62" customHeight="1">
      <x:c r="A7" s="2" t="str">
        <x:v>MainBoard</x:v>
      </x:c>
      <x:c r="B7" s="2" t="str">
        <x:v>A1</x:v>
      </x:c>
      <x:c r="C7" s="6" t="n">
        <x:v>1</x:v>
      </x:c>
      <x:c r="D7" s="4" t="str">
        <x:v>CA-C03</x:v>
      </x:c>
      <x:c r="E7" s="7" t="str">
        <x:v>CA-C03</x:v>
      </x:c>
      <x:c r="F7" s="7" t="str">
        <x:v>CrossAir / 广州寒武纪</x:v>
      </x:c>
      <x:c r="G7" s="7" t="str">
        <x:v>HoloCubic_RevB:RevB_A1</x:v>
      </x:c>
      <x:c r="H7" s="4" t="str">
        <x:v>厂家资料已核</x:v>
      </x:c>
      <x:c r="I7" s="4" t="str">
        <x:v>工程焊盘偏离厂家推荐尺寸；pin2固定端NC；需焊接、VNA及整壳RF验收</x:v>
      </x:c>
      <x:c r="J7" s="4" t="str">
        <x:v>https://www.gzhwjdz.com/DownLoad/45858.html</x:v>
      </x:c>
    </x:row>
    <x:row r="8" ht="62" customHeight="1">
      <x:c r="A8" s="2" t="str">
        <x:v>MainBoard</x:v>
      </x:c>
      <x:c r="B8" s="2" t="str">
        <x:v>C1</x:v>
      </x:c>
      <x:c r="C8" s="6" t="n">
        <x:v>1</x:v>
      </x:c>
      <x:c r="D8" s="4" t="str">
        <x:v>100nF</x:v>
      </x:c>
      <x:c r="E8" s="7" t="str">
        <x:v>GRM155R71C104KA88D</x:v>
      </x:c>
      <x:c r="F8" s="7" t="str">
        <x:v>Murata</x:v>
      </x:c>
      <x:c r="G8" s="7" t="str">
        <x:v>HoloCubic_RevB:RevB_C1</x:v>
      </x:c>
      <x:c r="H8" s="4" t="str">
        <x:v>原理图已选完整MPN</x:v>
      </x:c>
      <x:c r="I8" s="4" t="str">
        <x:v>MLCC标称值不代表工作偏压下有效值</x:v>
      </x:c>
      <x:c r="J8" s="4" t="str">
        <x:v>https://ds.murata.com/simserve/characteristics?ReqType=TechPDF&amp;partnumber=GRM155R71C104KA88&amp;techpdfname=technical_pdf_Capacitor01&amp;lang=en</x:v>
      </x:c>
    </x:row>
    <x:row r="9" ht="62" customHeight="1">
      <x:c r="A9" s="2" t="str">
        <x:v>MainBoard</x:v>
      </x:c>
      <x:c r="B9" s="2" t="str">
        <x:v>C2</x:v>
      </x:c>
      <x:c r="C9" s="6" t="n">
        <x:v>1</x:v>
      </x:c>
      <x:c r="D9" s="4" t="str">
        <x:v>22uF</x:v>
      </x:c>
      <x:c r="E9" s="7" t="str">
        <x:v>GRM21BR61E226ME44L</x:v>
      </x:c>
      <x:c r="F9" s="7" t="str">
        <x:v>Murata</x:v>
      </x:c>
      <x:c r="G9" s="7" t="str">
        <x:v>HoloCubic_RevB:RevB_C2</x:v>
      </x:c>
      <x:c r="H9" s="4" t="str">
        <x:v>原理图已选完整MPN</x:v>
      </x:c>
      <x:c r="I9" s="4" t="str">
        <x:v>22uF/25V0805；3V3典型有效约13–15uF，非保证下限</x:v>
      </x:c>
      <x:c r="J9" s="4" t="str">
        <x:v>https://ds.murata.com/simserve/characteristics?ReqType=TechPDF&amp;partnumber=GRM21BR61E226ME44&amp;techpdfname=technical_pdf_Capacitor01&amp;lang=en</x:v>
      </x:c>
    </x:row>
    <x:row r="10" ht="62" customHeight="1">
      <x:c r="A10" s="2" t="str">
        <x:v>MainBoard</x:v>
      </x:c>
      <x:c r="B10" s="2" t="str">
        <x:v>C3</x:v>
      </x:c>
      <x:c r="C10" s="6" t="n">
        <x:v>1</x:v>
      </x:c>
      <x:c r="D10" s="4" t="str">
        <x:v>22uF</x:v>
      </x:c>
      <x:c r="E10" s="7" t="str">
        <x:v>GRM21BR61E226ME44L</x:v>
      </x:c>
      <x:c r="F10" s="7" t="str">
        <x:v>Murata</x:v>
      </x:c>
      <x:c r="G10" s="7" t="str">
        <x:v>HoloCubic_RevB:RevB_C3</x:v>
      </x:c>
      <x:c r="H10" s="4" t="str">
        <x:v>原理图已选完整MPN</x:v>
      </x:c>
      <x:c r="I10" s="4" t="str">
        <x:v>22uF/25V0805；5V典型有效约10–11uF，非保证下限</x:v>
      </x:c>
      <x:c r="J10" s="4" t="str">
        <x:v>https://ds.murata.com/simserve/characteristics?ReqType=TechPDF&amp;partnumber=GRM21BR61E226ME44&amp;techpdfname=technical_pdf_Capacitor01&amp;lang=en</x:v>
      </x:c>
    </x:row>
    <x:row r="11" ht="62" customHeight="1">
      <x:c r="A11" s="2" t="str">
        <x:v>MainBoard</x:v>
      </x:c>
      <x:c r="B11" s="2" t="str">
        <x:v>C4</x:v>
      </x:c>
      <x:c r="C11" s="6" t="n">
        <x:v>1</x:v>
      </x:c>
      <x:c r="D11" s="4" t="str">
        <x:v>22uF</x:v>
      </x:c>
      <x:c r="E11" s="7" t="str">
        <x:v>GRM21BR61E226ME44L</x:v>
      </x:c>
      <x:c r="F11" s="7" t="str">
        <x:v>Murata</x:v>
      </x:c>
      <x:c r="G11" s="7" t="str">
        <x:v>HoloCubic_RevB:RevB_C4</x:v>
      </x:c>
      <x:c r="H11" s="4" t="str">
        <x:v>原理图已选完整MPN</x:v>
      </x:c>
      <x:c r="I11" s="4" t="str">
        <x:v>22uF/25V0805；3V3典型有效约13–15uF，非保证下限</x:v>
      </x:c>
      <x:c r="J11" s="4" t="str">
        <x:v>https://ds.murata.com/simserve/characteristics?ReqType=TechPDF&amp;partnumber=GRM21BR61E226ME44&amp;techpdfname=technical_pdf_Capacitor01&amp;lang=en</x:v>
      </x:c>
    </x:row>
    <x:row r="12" ht="62" customHeight="1">
      <x:c r="A12" s="2" t="str">
        <x:v>MainBoard</x:v>
      </x:c>
      <x:c r="B12" s="2" t="str">
        <x:v>C5</x:v>
      </x:c>
      <x:c r="C12" s="6" t="n">
        <x:v>1</x:v>
      </x:c>
      <x:c r="D12" s="4" t="str">
        <x:v>0.1uF</x:v>
      </x:c>
      <x:c r="E12" s="7" t="str">
        <x:v>GRM155R71C104KA88D</x:v>
      </x:c>
      <x:c r="F12" s="7" t="str">
        <x:v>Murata</x:v>
      </x:c>
      <x:c r="G12" s="7" t="str">
        <x:v>HoloCubic_RevB:Original_C5</x:v>
      </x:c>
      <x:c r="H12" s="4" t="str">
        <x:v>原理图已选完整MPN</x:v>
      </x:c>
      <x:c r="I12" s="4" t="str">
        <x:v>MLCC标称值不代表工作偏压下有效值</x:v>
      </x:c>
      <x:c r="J12" s="4" t="str">
        <x:v>https://ds.murata.com/simserve/characteristics?ReqType=TechPDF&amp;partnumber=GRM155R71C104KA88&amp;techpdfname=technical_pdf_Capacitor01&amp;lang=en</x:v>
      </x:c>
    </x:row>
    <x:row r="13" ht="62" customHeight="1">
      <x:c r="A13" s="2" t="str">
        <x:v>MainBoard</x:v>
      </x:c>
      <x:c r="B13" s="2" t="str">
        <x:v>C6</x:v>
      </x:c>
      <x:c r="C13" s="6" t="n">
        <x:v>1</x:v>
      </x:c>
      <x:c r="D13" s="4" t="str">
        <x:v>10nF</x:v>
      </x:c>
      <x:c r="E13" s="7" t="str">
        <x:v>GRM155R71H103KA88D</x:v>
      </x:c>
      <x:c r="F13" s="7" t="str">
        <x:v>Murata</x:v>
      </x:c>
      <x:c r="G13" s="7" t="str">
        <x:v>HoloCubic_RevB:Original_C6</x:v>
      </x:c>
      <x:c r="H13" s="4" t="str">
        <x:v>原理图已选完整MPN</x:v>
      </x:c>
      <x:c r="I13" s="4" t="str">
        <x:v>MLCC标称值不代表工作偏压下有效值</x:v>
      </x:c>
      <x:c r="J13" s="4" t="str">
        <x:v>https://ds.murata.com/simserve/characteristics?ReqType=TechPDF&amp;partnumber=GRM155R71H103KA88&amp;techpdfname=technical_pdf_Capacitor01&amp;lang=en</x:v>
      </x:c>
    </x:row>
    <x:row r="14" ht="62" customHeight="1">
      <x:c r="A14" s="2" t="str">
        <x:v>MainBoard</x:v>
      </x:c>
      <x:c r="B14" s="2" t="str">
        <x:v>C7</x:v>
      </x:c>
      <x:c r="C14" s="6" t="n">
        <x:v>1</x:v>
      </x:c>
      <x:c r="D14" s="4" t="str">
        <x:v>1uF</x:v>
      </x:c>
      <x:c r="E14" s="7" t="str">
        <x:v>GRM155R61C105KA12D</x:v>
      </x:c>
      <x:c r="F14" s="7" t="str">
        <x:v>Murata</x:v>
      </x:c>
      <x:c r="G14" s="7" t="str">
        <x:v>HoloCubic_RevB:RevB_C7</x:v>
      </x:c>
      <x:c r="H14" s="4" t="str">
        <x:v>原理图已选完整MPN</x:v>
      </x:c>
      <x:c r="I14" s="4" t="str">
        <x:v>1uF/16V0402；3V3典型有效约0.55uF，EN实际复位时序须测</x:v>
      </x:c>
      <x:c r="J14" s="4" t="str">
        <x:v>https://ds.murata.com/simserve/characteristics?ReqType=TechPDF&amp;partnumber=GRM155R61C105KA12&amp;techpdfname=technical_pdf_Capacitor01&amp;lang=en</x:v>
      </x:c>
    </x:row>
    <x:row r="15" ht="62" customHeight="1">
      <x:c r="A15" s="2" t="str">
        <x:v>MainBoard</x:v>
      </x:c>
      <x:c r="B15" s="2" t="str">
        <x:v>C8</x:v>
      </x:c>
      <x:c r="C15" s="6" t="n">
        <x:v>1</x:v>
      </x:c>
      <x:c r="D15" s="4" t="str">
        <x:v>0.1uF</x:v>
      </x:c>
      <x:c r="E15" s="7" t="str">
        <x:v>GRM155R71C104KA88D</x:v>
      </x:c>
      <x:c r="F15" s="7" t="str">
        <x:v>Murata</x:v>
      </x:c>
      <x:c r="G15" s="7" t="str">
        <x:v>HoloCubic_RevB:Original_C8</x:v>
      </x:c>
      <x:c r="H15" s="4" t="str">
        <x:v>原理图已选完整MPN</x:v>
      </x:c>
      <x:c r="I15" s="4" t="str">
        <x:v>MLCC标称值不代表工作偏压下有效值</x:v>
      </x:c>
      <x:c r="J15" s="4" t="str">
        <x:v>https://ds.murata.com/simserve/characteristics?ReqType=TechPDF&amp;partnumber=GRM155R71C104KA88&amp;techpdfname=technical_pdf_Capacitor01&amp;lang=en</x:v>
      </x:c>
    </x:row>
    <x:row r="16" ht="62" customHeight="1">
      <x:c r="A16" s="2" t="str">
        <x:v>MainBoard</x:v>
      </x:c>
      <x:c r="B16" s="2" t="str">
        <x:v>C9</x:v>
      </x:c>
      <x:c r="C16" s="6" t="n">
        <x:v>1</x:v>
      </x:c>
      <x:c r="D16" s="4" t="str">
        <x:v>2.2nF</x:v>
      </x:c>
      <x:c r="E16" s="7" t="str">
        <x:v>GRM1555C1H222JA01D</x:v>
      </x:c>
      <x:c r="F16" s="7" t="str">
        <x:v>Murata</x:v>
      </x:c>
      <x:c r="G16" s="7" t="str">
        <x:v>HoloCubic_RevB:Original_C9</x:v>
      </x:c>
      <x:c r="H16" s="4" t="str">
        <x:v>原理图已选完整MPN</x:v>
      </x:c>
      <x:c r="I16" s="4" t="str">
        <x:v>MLCC标称值不代表工作偏压下有效值</x:v>
      </x:c>
      <x:c r="J16" s="4" t="str">
        <x:v>https://ds.murata.com/simserve/characteristics?ReqType=TechPDF&amp;partnumber=GRM1555C1H222JA01&amp;techpdfname=technical_pdf_Capacitor01&amp;lang=en</x:v>
      </x:c>
    </x:row>
    <x:row r="17" ht="62" customHeight="1">
      <x:c r="A17" s="2" t="str">
        <x:v>MainBoard</x:v>
      </x:c>
      <x:c r="B17" s="2" t="str">
        <x:v>C10</x:v>
      </x:c>
      <x:c r="C17" s="6" t="n">
        <x:v>1</x:v>
      </x:c>
      <x:c r="D17" s="4" t="str">
        <x:v>0.1uF</x:v>
      </x:c>
      <x:c r="E17" s="7" t="str">
        <x:v>GRM155R71C104KA88D</x:v>
      </x:c>
      <x:c r="F17" s="7" t="str">
        <x:v>Murata</x:v>
      </x:c>
      <x:c r="G17" s="7" t="str">
        <x:v>HoloCubic_RevB:Original_C10</x:v>
      </x:c>
      <x:c r="H17" s="4" t="str">
        <x:v>原理图已选完整MPN</x:v>
      </x:c>
      <x:c r="I17" s="4" t="str">
        <x:v>MLCC标称值不代表工作偏压下有效值</x:v>
      </x:c>
      <x:c r="J17" s="4" t="str">
        <x:v>https://ds.murata.com/simserve/characteristics?ReqType=TechPDF&amp;partnumber=GRM155R71C104KA88&amp;techpdfname=technical_pdf_Capacitor01&amp;lang=en</x:v>
      </x:c>
    </x:row>
    <x:row r="18" ht="62" customHeight="1">
      <x:c r="A18" s="2" t="str">
        <x:v>MainBoard</x:v>
      </x:c>
      <x:c r="B18" s="2" t="str">
        <x:v>C11</x:v>
      </x:c>
      <x:c r="C18" s="6" t="n">
        <x:v>1</x:v>
      </x:c>
      <x:c r="D18" s="4" t="str">
        <x:v>0.1uF</x:v>
      </x:c>
      <x:c r="E18" s="7" t="str">
        <x:v>GRM155R71C104KA88D</x:v>
      </x:c>
      <x:c r="F18" s="7" t="str">
        <x:v>Murata</x:v>
      </x:c>
      <x:c r="G18" s="7" t="str">
        <x:v>HoloCubic_RevB:Original_C11</x:v>
      </x:c>
      <x:c r="H18" s="4" t="str">
        <x:v>原理图已选完整MPN</x:v>
      </x:c>
      <x:c r="I18" s="4" t="str">
        <x:v>MLCC标称值不代表工作偏压下有效值</x:v>
      </x:c>
      <x:c r="J18" s="4" t="str">
        <x:v>https://ds.murata.com/simserve/characteristics?ReqType=TechPDF&amp;partnumber=GRM155R71C104KA88&amp;techpdfname=technical_pdf_Capacitor01&amp;lang=en</x:v>
      </x:c>
    </x:row>
    <x:row r="19" ht="62" customHeight="1">
      <x:c r="A19" s="2" t="str">
        <x:v>MainBoard</x:v>
      </x:c>
      <x:c r="B19" s="2" t="str">
        <x:v>C13</x:v>
      </x:c>
      <x:c r="C19" s="6" t="n">
        <x:v>1</x:v>
      </x:c>
      <x:c r="D19" s="4" t="str">
        <x:v>22uF</x:v>
      </x:c>
      <x:c r="E19" s="7" t="str">
        <x:v>GRM21BR61E226ME44L</x:v>
      </x:c>
      <x:c r="F19" s="7" t="str">
        <x:v>Murata</x:v>
      </x:c>
      <x:c r="G19" s="7" t="str">
        <x:v>HoloCubic_RevB:RevB_C13</x:v>
      </x:c>
      <x:c r="H19" s="4" t="str">
        <x:v>原理图已选完整MPN</x:v>
      </x:c>
      <x:c r="I19" s="4" t="str">
        <x:v>22uF/25V0805；3V3典型有效约13–15uF，非保证下限</x:v>
      </x:c>
      <x:c r="J19" s="4" t="str">
        <x:v>https://ds.murata.com/simserve/characteristics?ReqType=TechPDF&amp;partnumber=GRM21BR61E226ME44&amp;techpdfname=technical_pdf_Capacitor01&amp;lang=en</x:v>
      </x:c>
    </x:row>
    <x:row r="20" ht="62" customHeight="1">
      <x:c r="A20" s="2" t="str">
        <x:v>MainBoard</x:v>
      </x:c>
      <x:c r="B20" s="2" t="str">
        <x:v>C15</x:v>
      </x:c>
      <x:c r="C20" s="6" t="n">
        <x:v>1</x:v>
      </x:c>
      <x:c r="D20" s="4" t="str">
        <x:v>1uF</x:v>
      </x:c>
      <x:c r="E20" s="7" t="str">
        <x:v>GRM155R61C105KA12D</x:v>
      </x:c>
      <x:c r="F20" s="7" t="str">
        <x:v>Murata</x:v>
      </x:c>
      <x:c r="G20" s="7" t="str">
        <x:v>HoloCubic_RevB:RevB_C15</x:v>
      </x:c>
      <x:c r="H20" s="4" t="str">
        <x:v>原理图已选完整MPN</x:v>
      </x:c>
      <x:c r="I20" s="4" t="str">
        <x:v>入口1uF/16V0402；5V典型有效约0.35uF；热插拔时序须测</x:v>
      </x:c>
      <x:c r="J20" s="4" t="str">
        <x:v>https://ds.murata.com/simserve/characteristics?ReqType=TechPDF&amp;partnumber=GRM155R61C105KA12&amp;techpdfname=technical_pdf_Capacitor01&amp;lang=en</x:v>
      </x:c>
    </x:row>
    <x:row r="21" ht="62" customHeight="1">
      <x:c r="A21" s="2" t="str">
        <x:v>MainBoard</x:v>
      </x:c>
      <x:c r="B21" s="2" t="str">
        <x:v>C16</x:v>
      </x:c>
      <x:c r="C21" s="6" t="n">
        <x:v>1</x:v>
      </x:c>
      <x:c r="D21" s="4" t="str">
        <x:v>100pF</x:v>
      </x:c>
      <x:c r="E21" s="7" t="str">
        <x:v>GRM1555C1H101JA01D</x:v>
      </x:c>
      <x:c r="F21" s="7" t="str">
        <x:v>Murata</x:v>
      </x:c>
      <x:c r="G21" s="7" t="str">
        <x:v>HoloCubic_RevB:RevB_C16</x:v>
      </x:c>
      <x:c r="H21" s="4" t="str">
        <x:v>原理图已选完整MPN</x:v>
      </x:c>
      <x:c r="I21" s="4" t="str">
        <x:v>100pF/50V/C0G±5%0402；TI Eq3估算约0.425ms@5V，非最大值保证；CP_VDD到2.7V≤1ms、热插拔与入口电流须实测</x:v>
      </x:c>
      <x:c r="J21" s="4" t="str">
        <x:v>https://ds.murata.com/simserve/characteristics?ReqType=TechPDF&amp;partnumber=GRM1555C1H101JA01&amp;techpdfname=technical_pdf_Capacitor01&amp;lang=en</x:v>
      </x:c>
    </x:row>
    <x:row r="22" ht="62" customHeight="1">
      <x:c r="A22" s="2" t="str">
        <x:v>MainBoard</x:v>
      </x:c>
      <x:c r="B22" s="2" t="str">
        <x:v>C17</x:v>
      </x:c>
      <x:c r="C22" s="6" t="n">
        <x:v>1</x:v>
      </x:c>
      <x:c r="D22" s="4" t="str">
        <x:v>100nF</x:v>
      </x:c>
      <x:c r="E22" s="7" t="str">
        <x:v>GRM155R71C104KA88D</x:v>
      </x:c>
      <x:c r="F22" s="7" t="str">
        <x:v>Murata</x:v>
      </x:c>
      <x:c r="G22" s="7" t="str">
        <x:v>HoloCubic_RevB:RevB_C17</x:v>
      </x:c>
      <x:c r="H22" s="4" t="str">
        <x:v>原理图已选完整MPN</x:v>
      </x:c>
      <x:c r="I22" s="4" t="str">
        <x:v>MLCC标称值不代表工作偏压下有效值</x:v>
      </x:c>
      <x:c r="J22" s="4" t="str">
        <x:v>https://ds.murata.com/simserve/characteristics?ReqType=TechPDF&amp;partnumber=GRM155R71C104KA88&amp;techpdfname=technical_pdf_Capacitor01&amp;lang=en</x:v>
      </x:c>
    </x:row>
    <x:row r="23" ht="62" customHeight="1">
      <x:c r="A23" s="2" t="str">
        <x:v>MainBoard</x:v>
      </x:c>
      <x:c r="B23" s="2" t="str">
        <x:v>C18</x:v>
      </x:c>
      <x:c r="C23" s="6" t="n">
        <x:v>1</x:v>
      </x:c>
      <x:c r="D23" s="4" t="str">
        <x:v>100nF</x:v>
      </x:c>
      <x:c r="E23" s="7" t="str">
        <x:v>GRM155R71C104KA88D</x:v>
      </x:c>
      <x:c r="F23" s="7" t="str">
        <x:v>Murata</x:v>
      </x:c>
      <x:c r="G23" s="7" t="str">
        <x:v>HoloCubic_RevB:RevB_C18</x:v>
      </x:c>
      <x:c r="H23" s="4" t="str">
        <x:v>原理图已选完整MPN</x:v>
      </x:c>
      <x:c r="I23" s="4" t="str">
        <x:v>MLCC标称值不代表工作偏压下有效值</x:v>
      </x:c>
      <x:c r="J23" s="4" t="str">
        <x:v>https://ds.murata.com/simserve/characteristics?ReqType=TechPDF&amp;partnumber=GRM155R71C104KA88&amp;techpdfname=technical_pdf_Capacitor01&amp;lang=en</x:v>
      </x:c>
    </x:row>
    <x:row r="24" ht="62" customHeight="1">
      <x:c r="A24" s="2" t="str">
        <x:v>MainBoard</x:v>
      </x:c>
      <x:c r="B24" s="2" t="str">
        <x:v>C20</x:v>
      </x:c>
      <x:c r="C24" s="6" t="n">
        <x:v>1</x:v>
      </x:c>
      <x:c r="D24" s="4" t="str">
        <x:v>4.7uF</x:v>
      </x:c>
      <x:c r="E24" s="7" t="str">
        <x:v>GRM155R61A475MEAAD</x:v>
      </x:c>
      <x:c r="F24" s="7" t="str">
        <x:v>Murata</x:v>
      </x:c>
      <x:c r="G24" s="7" t="str">
        <x:v>HoloCubic_RevB:RevB_C20</x:v>
      </x:c>
      <x:c r="H24" s="4" t="str">
        <x:v>原理图已选完整MPN</x:v>
      </x:c>
      <x:c r="I24" s="4" t="str">
        <x:v>4.7uF/10V/X5R0402；5V典型约1.88uF、5.5V约1.7uF；非保证下限，量产须采样</x:v>
      </x:c>
      <x:c r="J24" s="4" t="str">
        <x:v>https://ds.murata.com/simserve/characteristics?ReqType=TechPDF&amp;partnumber=GRM155R61A475MEAA&amp;techpdfname=technical_pdf_Capacitor01&amp;lang=en</x:v>
      </x:c>
    </x:row>
    <x:row r="25" ht="62" customHeight="1">
      <x:c r="A25" s="2" t="str">
        <x:v>MainBoard</x:v>
      </x:c>
      <x:c r="B25" s="2" t="str">
        <x:v>C21</x:v>
      </x:c>
      <x:c r="C25" s="6" t="n">
        <x:v>1</x:v>
      </x:c>
      <x:c r="D25" s="4" t="str">
        <x:v>100nF</x:v>
      </x:c>
      <x:c r="E25" s="7" t="str">
        <x:v>GRM155R71C104KA88D</x:v>
      </x:c>
      <x:c r="F25" s="7" t="str">
        <x:v>Murata</x:v>
      </x:c>
      <x:c r="G25" s="7" t="str">
        <x:v>HoloCubic_RevB:RevB_C21</x:v>
      </x:c>
      <x:c r="H25" s="4" t="str">
        <x:v>原理图已选完整MPN</x:v>
      </x:c>
      <x:c r="I25" s="4" t="str">
        <x:v>MLCC标称值不代表工作偏压下有效值</x:v>
      </x:c>
      <x:c r="J25" s="4" t="str">
        <x:v>https://ds.murata.com/simserve/characteristics?ReqType=TechPDF&amp;partnumber=GRM155R71C104KA88&amp;techpdfname=technical_pdf_Capacitor01&amp;lang=en</x:v>
      </x:c>
    </x:row>
    <x:row r="26" ht="62" customHeight="1">
      <x:c r="A26" s="2" t="str">
        <x:v>MainBoard</x:v>
      </x:c>
      <x:c r="B26" s="2" t="str">
        <x:v>C22</x:v>
      </x:c>
      <x:c r="C26" s="6" t="n">
        <x:v>1</x:v>
      </x:c>
      <x:c r="D26" s="4" t="str">
        <x:v>100nF</x:v>
      </x:c>
      <x:c r="E26" s="7" t="str">
        <x:v>GRM155R71C104KA88D</x:v>
      </x:c>
      <x:c r="F26" s="7" t="str">
        <x:v>Murata</x:v>
      </x:c>
      <x:c r="G26" s="7" t="str">
        <x:v>HoloCubic_RevB:RevB_C22</x:v>
      </x:c>
      <x:c r="H26" s="4" t="str">
        <x:v>原理图已选完整MPN</x:v>
      </x:c>
      <x:c r="I26" s="4" t="str">
        <x:v>MLCC标称值不代表工作偏压下有效值</x:v>
      </x:c>
      <x:c r="J26" s="4" t="str">
        <x:v>https://ds.murata.com/simserve/characteristics?ReqType=TechPDF&amp;partnumber=GRM155R71C104KA88&amp;techpdfname=technical_pdf_Capacitor01&amp;lang=en</x:v>
      </x:c>
    </x:row>
    <x:row r="27" ht="62" customHeight="1">
      <x:c r="A27" s="2" t="str">
        <x:v>MainBoard</x:v>
      </x:c>
      <x:c r="B27" s="2" t="str">
        <x:v>C23</x:v>
      </x:c>
      <x:c r="C27" s="6" t="n">
        <x:v>1</x:v>
      </x:c>
      <x:c r="D27" s="4" t="str">
        <x:v>100nF</x:v>
      </x:c>
      <x:c r="E27" s="7" t="str">
        <x:v>GRM155R71C104KA88D</x:v>
      </x:c>
      <x:c r="F27" s="7" t="str">
        <x:v>Murata</x:v>
      </x:c>
      <x:c r="G27" s="7" t="str">
        <x:v>HoloCubic_RevB:RevB_C23</x:v>
      </x:c>
      <x:c r="H27" s="4" t="str">
        <x:v>原理图已选完整MPN</x:v>
      </x:c>
      <x:c r="I27" s="4" t="str">
        <x:v>MLCC标称值不代表工作偏压下有效值</x:v>
      </x:c>
      <x:c r="J27" s="4" t="str">
        <x:v>https://ds.murata.com/simserve/characteristics?ReqType=TechPDF&amp;partnumber=GRM155R71C104KA88&amp;techpdfname=technical_pdf_Capacitor01&amp;lang=en</x:v>
      </x:c>
    </x:row>
    <x:row r="28" ht="62" customHeight="1">
      <x:c r="A28" s="2" t="str">
        <x:v>MainBoard</x:v>
      </x:c>
      <x:c r="B28" s="2" t="str">
        <x:v>C24</x:v>
      </x:c>
      <x:c r="C28" s="6" t="n">
        <x:v>1</x:v>
      </x:c>
      <x:c r="D28" s="4" t="str">
        <x:v>1uF</x:v>
      </x:c>
      <x:c r="E28" s="7" t="str">
        <x:v>GRM188R71C105KA12D</x:v>
      </x:c>
      <x:c r="F28" s="7" t="str">
        <x:v>Murata</x:v>
      </x:c>
      <x:c r="G28" s="7" t="str">
        <x:v>HoloCubic_RevB:RevB_C24</x:v>
      </x:c>
      <x:c r="H28" s="4" t="str">
        <x:v>原理图已选完整MPN</x:v>
      </x:c>
      <x:c r="I28" s="4" t="str">
        <x:v>MLCC标称值不代表工作偏压下有效值</x:v>
      </x:c>
      <x:c r="J28" s="4" t="str">
        <x:v>https://ds.murata.com/simserve/characteristics?ReqType=TechPDF&amp;partnumber=GRM188R71C105KA12&amp;techpdfname=technical_pdf_Capacitor01&amp;lang=en</x:v>
      </x:c>
    </x:row>
    <x:row r="29" ht="62" customHeight="1">
      <x:c r="A29" s="2" t="str">
        <x:v>MainBoard</x:v>
      </x:c>
      <x:c r="B29" s="2" t="str">
        <x:v>CON1</x:v>
      </x:c>
      <x:c r="C29" s="6" t="n">
        <x:v>1</x:v>
      </x:c>
      <x:c r="D29" s="4" t="str">
        <x:v>FH12-8S-0.5SH(55)</x:v>
      </x:c>
      <x:c r="E29" s="7" t="str">
        <x:v>FH12-8S-0.5SH(55)</x:v>
      </x:c>
      <x:c r="F29" s="7" t="str">
        <x:v>Hirose</x:v>
      </x:c>
      <x:c r="G29" s="7" t="str">
        <x:v>HoloCubic_RevB:RevB_CON1</x:v>
      </x:c>
      <x:c r="H29" s="4" t="str">
        <x:v>厂家图纸已核</x:v>
      </x:c>
      <x:c r="I29" s="4" t="str">
        <x:v>8P / 0.5mm / 0.3mm厚FFC，bottom contact；排线接触面及长度另行锁定</x:v>
      </x:c>
      <x:c r="J29" s="4" t="str">
        <x:v>https://www.hirose.com/product/p/CL0586-0744-5-55</x:v>
      </x:c>
    </x:row>
    <x:row r="30" ht="62" customHeight="1">
      <x:c r="A30" s="2" t="str">
        <x:v>MainBoard</x:v>
      </x:c>
      <x:c r="B30" s="2" t="str">
        <x:v>D1</x:v>
      </x:c>
      <x:c r="C30" s="6" t="n">
        <x:v>1</x:v>
      </x:c>
      <x:c r="D30" s="4" t="str">
        <x:v>WS2812B-V5/W</x:v>
      </x:c>
      <x:c r="E30" s="7" t="str">
        <x:v>WS2812B-V5/W</x:v>
      </x:c>
      <x:c r="F30" s="7" t="str">
        <x:v>Worldsemi</x:v>
      </x:c>
      <x:c r="G30" s="7" t="str">
        <x:v>HoloCubic_RevB:Original_D1</x:v>
      </x:c>
      <x:c r="H30" s="4" t="str">
        <x:v>厂家资料已核</x:v>
      </x:c>
      <x:c r="I30" s="4" t="str">
        <x:v>完整V5/W版本；1VDD/2DOUT/3GND/4DIN；5V供电及AHCT缓冲</x:v>
      </x:c>
      <x:c r="J30" s="4" t="str">
        <x:v>https://datasheet.lcsc.com/lcsc/2206131216_Worldsemi-WS2812B-V5-W_C2874885.pdf</x:v>
      </x:c>
    </x:row>
    <x:row r="31" ht="62" customHeight="1">
      <x:c r="A31" s="2" t="str">
        <x:v>MainBoard</x:v>
      </x:c>
      <x:c r="B31" s="2" t="str">
        <x:v>D2</x:v>
      </x:c>
      <x:c r="C31" s="6" t="n">
        <x:v>1</x:v>
      </x:c>
      <x:c r="D31" s="4" t="str">
        <x:v>TPD1E10B06DPYR</x:v>
      </x:c>
      <x:c r="E31" s="7" t="str">
        <x:v>TPD1E10B06DPYR</x:v>
      </x:c>
      <x:c r="F31" s="7" t="str">
        <x:v>Texas Instruments</x:v>
      </x:c>
      <x:c r="G31" s="7" t="str">
        <x:v>HoloCubic_RevB:RevB_D2</x:v>
      </x:c>
      <x:c r="H31" s="4" t="str">
        <x:v>Active（原厂）</x:v>
      </x:c>
      <x:c r="I31" s="4" t="str">
        <x:v>保持完整封装后缀与引脚定义</x:v>
      </x:c>
      <x:c r="J31" s="4" t="str">
        <x:v>https://www.ti.com/product/TPD1E10B06</x:v>
      </x:c>
    </x:row>
    <x:row r="32" ht="62" customHeight="1">
      <x:c r="A32" s="2" t="str">
        <x:v>MainBoard</x:v>
      </x:c>
      <x:c r="B32" s="2" t="str">
        <x:v>J1</x:v>
      </x:c>
      <x:c r="C32" s="6" t="n">
        <x:v>1</x:v>
      </x:c>
      <x:c r="D32" s="4" t="str">
        <x:v>104031-0811</x:v>
      </x:c>
      <x:c r="E32" s="7" t="str">
        <x:v>104031-0811</x:v>
      </x:c>
      <x:c r="F32" s="7" t="str">
        <x:v>Molex</x:v>
      </x:c>
      <x:c r="G32" s="7" t="str">
        <x:v>HoloCubic_RevB:RevB_J1</x:v>
      </x:c>
      <x:c r="H32" s="4" t="str">
        <x:v>Active（原厂）</x:v>
      </x:c>
      <x:c r="I32" s="4" t="str">
        <x:v>RevB2焊盘；检测9/10均GND未用；需插卡及保卡实测</x:v>
      </x:c>
      <x:c r="J32" s="4" t="str">
        <x:v>https://www.molex.com/en-us/products/part-detail/1040310811</x:v>
      </x:c>
    </x:row>
    <x:row r="33" ht="62" customHeight="1">
      <x:c r="A33" s="2" t="str">
        <x:v>MainBoard</x:v>
      </x:c>
      <x:c r="B33" s="2" t="str">
        <x:v>L1</x:v>
      </x:c>
      <x:c r="C33" s="6" t="n">
        <x:v>1</x:v>
      </x:c>
      <x:c r="D33" s="4" t="str">
        <x:v>2.2uH</x:v>
      </x:c>
      <x:c r="E33" s="7" t="str">
        <x:v>VLS3012HBX-2R2M-N</x:v>
      </x:c>
      <x:c r="F33" s="7" t="str">
        <x:v>TDK</x:v>
      </x:c>
      <x:c r="G33" s="7" t="str">
        <x:v>HoloCubic_RevB:RevB_L1</x:v>
      </x:c>
      <x:c r="H33" s="4" t="str">
        <x:v>未单独核验生命周期</x:v>
      </x:c>
      <x:c r="I33" s="4" t="str">
        <x:v>2.2uH；完整HBX/-N订货号，电感饱和及温升按供电实测验收</x:v>
      </x:c>
      <x:c r="J33" s="4" t="str"/>
    </x:row>
    <x:row r="34" ht="62" customHeight="1">
      <x:c r="A34" s="2" t="str">
        <x:v>MainBoard</x:v>
      </x:c>
      <x:c r="B34" s="2" t="str">
        <x:v>R1</x:v>
      </x:c>
      <x:c r="C34" s="6" t="n">
        <x:v>1</x:v>
      </x:c>
      <x:c r="D34" s="4" t="str">
        <x:v>10K</x:v>
      </x:c>
      <x:c r="E34" s="7" t="str">
        <x:v>RC0402FR-0710KL</x:v>
      </x:c>
      <x:c r="F34" s="7" t="str">
        <x:v>YAGEO</x:v>
      </x:c>
      <x:c r="G34" s="7" t="str">
        <x:v>HoloCubic_RevB:Original_R1</x:v>
      </x:c>
      <x:c r="H34" s="4" t="str">
        <x:v>未单独核验生命周期</x:v>
      </x:c>
      <x:c r="I34" s="4" t="str"/>
      <x:c r="J34" s="4" t="str">
        <x:v>https://www.yageogroup.com/component-documentation/download/specsheet/RC0402FR-0710KL</x:v>
      </x:c>
    </x:row>
    <x:row r="35" ht="62" customHeight="1">
      <x:c r="A35" s="2" t="str">
        <x:v>MainBoard</x:v>
      </x:c>
      <x:c r="B35" s="2" t="str">
        <x:v>R2</x:v>
      </x:c>
      <x:c r="C35" s="6" t="n">
        <x:v>1</x:v>
      </x:c>
      <x:c r="D35" s="4" t="str">
        <x:v>0</x:v>
      </x:c>
      <x:c r="E35" s="7" t="str">
        <x:v>RC0402JR-070RL</x:v>
      </x:c>
      <x:c r="F35" s="7" t="str">
        <x:v>YAGEO</x:v>
      </x:c>
      <x:c r="G35" s="7" t="str">
        <x:v>HoloCubic_RevB:RevB_R2</x:v>
      </x:c>
      <x:c r="H35" s="4" t="str">
        <x:v>未单独核验生命周期</x:v>
      </x:c>
      <x:c r="I35" s="4" t="str">
        <x:v>0ohm0402，型号额定1A；3V3A支路按ESP≤500mA设计分配</x:v>
      </x:c>
      <x:c r="J35" s="4" t="str">
        <x:v>https://www.yageogroup.com/component-documentation/download/specsheet/RC0402JR-070RL</x:v>
      </x:c>
    </x:row>
    <x:row r="36" ht="62" customHeight="1">
      <x:c r="A36" s="2" t="str">
        <x:v>MainBoard</x:v>
      </x:c>
      <x:c r="B36" s="2" t="str">
        <x:v>R3</x:v>
      </x:c>
      <x:c r="C36" s="6" t="n">
        <x:v>1</x:v>
      </x:c>
      <x:c r="D36" s="4" t="str">
        <x:v>200R</x:v>
      </x:c>
      <x:c r="E36" s="7" t="str">
        <x:v>RC0402FR-07200RL</x:v>
      </x:c>
      <x:c r="F36" s="7" t="str">
        <x:v>YAGEO</x:v>
      </x:c>
      <x:c r="G36" s="7" t="str">
        <x:v>HoloCubic_RevB:Original_R3</x:v>
      </x:c>
      <x:c r="H36" s="4" t="str">
        <x:v>未单独核验生命周期</x:v>
      </x:c>
      <x:c r="I36" s="4" t="str"/>
      <x:c r="J36" s="4" t="str">
        <x:v>https://www.yageogroup.com/component-documentation/download/specsheet/RC0402FR-07200RL</x:v>
      </x:c>
    </x:row>
    <x:row r="37" ht="62" customHeight="1">
      <x:c r="A37" s="2" t="str">
        <x:v>MainBoard</x:v>
      </x:c>
      <x:c r="B37" s="2" t="str">
        <x:v>R4</x:v>
      </x:c>
      <x:c r="C37" s="6" t="n">
        <x:v>1</x:v>
      </x:c>
      <x:c r="D37" s="4" t="str">
        <x:v>12K</x:v>
      </x:c>
      <x:c r="E37" s="7" t="str">
        <x:v>RC0402FR-0712KL</x:v>
      </x:c>
      <x:c r="F37" s="7" t="str">
        <x:v>YAGEO</x:v>
      </x:c>
      <x:c r="G37" s="7" t="str">
        <x:v>HoloCubic_RevB:Original_R4</x:v>
      </x:c>
      <x:c r="H37" s="4" t="str">
        <x:v>未单独核验生命周期</x:v>
      </x:c>
      <x:c r="I37" s="4" t="str"/>
      <x:c r="J37" s="4" t="str">
        <x:v>https://www.yageogroup.com/component-documentation/download/specsheet/RC0402FR-0712KL</x:v>
      </x:c>
    </x:row>
    <x:row r="38" ht="62" customHeight="1">
      <x:c r="A38" s="2" t="str">
        <x:v>MainBoard</x:v>
      </x:c>
      <x:c r="B38" s="2" t="str">
        <x:v>R5</x:v>
      </x:c>
      <x:c r="C38" s="6" t="n">
        <x:v>1</x:v>
      </x:c>
      <x:c r="D38" s="4" t="str">
        <x:v>12K</x:v>
      </x:c>
      <x:c r="E38" s="7" t="str">
        <x:v>RC0402FR-0712KL</x:v>
      </x:c>
      <x:c r="F38" s="7" t="str">
        <x:v>YAGEO</x:v>
      </x:c>
      <x:c r="G38" s="7" t="str">
        <x:v>HoloCubic_RevB:Original_R5</x:v>
      </x:c>
      <x:c r="H38" s="4" t="str">
        <x:v>未单独核验生命周期</x:v>
      </x:c>
      <x:c r="I38" s="4" t="str"/>
      <x:c r="J38" s="4" t="str">
        <x:v>https://www.yageogroup.com/component-documentation/download/specsheet/RC0402FR-0712KL</x:v>
      </x:c>
    </x:row>
    <x:row r="39" ht="62" customHeight="1">
      <x:c r="A39" s="2" t="str">
        <x:v>MainBoard</x:v>
      </x:c>
      <x:c r="B39" s="2" t="str">
        <x:v>R6</x:v>
      </x:c>
      <x:c r="C39" s="6" t="n">
        <x:v>1</x:v>
      </x:c>
      <x:c r="D39" s="4" t="str">
        <x:v>10K</x:v>
      </x:c>
      <x:c r="E39" s="7" t="str">
        <x:v>RC0402FR-0710KL</x:v>
      </x:c>
      <x:c r="F39" s="7" t="str">
        <x:v>YAGEO</x:v>
      </x:c>
      <x:c r="G39" s="7" t="str">
        <x:v>HoloCubic_RevB:Original_R6</x:v>
      </x:c>
      <x:c r="H39" s="4" t="str">
        <x:v>未单独核验生命周期</x:v>
      </x:c>
      <x:c r="I39" s="4" t="str"/>
      <x:c r="J39" s="4" t="str">
        <x:v>https://www.yageogroup.com/component-documentation/download/specsheet/RC0402FR-0710KL</x:v>
      </x:c>
    </x:row>
    <x:row r="40" ht="62" customHeight="1">
      <x:c r="A40" s="2" t="str">
        <x:v>MainBoard</x:v>
      </x:c>
      <x:c r="B40" s="2" t="str">
        <x:v>R7</x:v>
      </x:c>
      <x:c r="C40" s="6" t="n">
        <x:v>1</x:v>
      </x:c>
      <x:c r="D40" s="4" t="str">
        <x:v>10K</x:v>
      </x:c>
      <x:c r="E40" s="7" t="str">
        <x:v>RC0402FR-0710KL</x:v>
      </x:c>
      <x:c r="F40" s="7" t="str">
        <x:v>YAGEO</x:v>
      </x:c>
      <x:c r="G40" s="7" t="str">
        <x:v>HoloCubic_RevB:Original_R7</x:v>
      </x:c>
      <x:c r="H40" s="4" t="str">
        <x:v>未单独核验生命周期</x:v>
      </x:c>
      <x:c r="I40" s="4" t="str"/>
      <x:c r="J40" s="4" t="str">
        <x:v>https://www.yageogroup.com/component-documentation/download/specsheet/RC0402FR-0710KL</x:v>
      </x:c>
    </x:row>
    <x:row r="41" ht="62" customHeight="1">
      <x:c r="A41" s="2" t="str">
        <x:v>MainBoard</x:v>
      </x:c>
      <x:c r="B41" s="2" t="str">
        <x:v>R8</x:v>
      </x:c>
      <x:c r="C41" s="6" t="n">
        <x:v>1</x:v>
      </x:c>
      <x:c r="D41" s="4" t="str">
        <x:v>10K</x:v>
      </x:c>
      <x:c r="E41" s="7" t="str">
        <x:v>RC0402FR-0710KL</x:v>
      </x:c>
      <x:c r="F41" s="7" t="str">
        <x:v>YAGEO</x:v>
      </x:c>
      <x:c r="G41" s="7" t="str">
        <x:v>HoloCubic_RevB:Original_R8</x:v>
      </x:c>
      <x:c r="H41" s="4" t="str">
        <x:v>未单独核验生命周期</x:v>
      </x:c>
      <x:c r="I41" s="4" t="str"/>
      <x:c r="J41" s="4" t="str">
        <x:v>https://www.yageogroup.com/component-documentation/download/specsheet/RC0402FR-0710KL</x:v>
      </x:c>
    </x:row>
    <x:row r="42" ht="62" customHeight="1">
      <x:c r="A42" s="2" t="str">
        <x:v>MainBoard</x:v>
      </x:c>
      <x:c r="B42" s="2" t="str">
        <x:v>R9</x:v>
      </x:c>
      <x:c r="C42" s="6" t="n">
        <x:v>1</x:v>
      </x:c>
      <x:c r="D42" s="4" t="str">
        <x:v>10K</x:v>
      </x:c>
      <x:c r="E42" s="7" t="str">
        <x:v>RC0402FR-0710KL</x:v>
      </x:c>
      <x:c r="F42" s="7" t="str">
        <x:v>YAGEO</x:v>
      </x:c>
      <x:c r="G42" s="7" t="str">
        <x:v>HoloCubic_RevB:Original_R9</x:v>
      </x:c>
      <x:c r="H42" s="4" t="str">
        <x:v>未单独核验生命周期</x:v>
      </x:c>
      <x:c r="I42" s="4" t="str"/>
      <x:c r="J42" s="4" t="str">
        <x:v>https://www.yageogroup.com/component-documentation/download/specsheet/RC0402FR-0710KL</x:v>
      </x:c>
    </x:row>
    <x:row r="43" ht="62" customHeight="1">
      <x:c r="A43" s="2" t="str">
        <x:v>MainBoard</x:v>
      </x:c>
      <x:c r="B43" s="2" t="str">
        <x:v>R10</x:v>
      </x:c>
      <x:c r="C43" s="6" t="n">
        <x:v>1</x:v>
      </x:c>
      <x:c r="D43" s="4" t="str">
        <x:v>10K</x:v>
      </x:c>
      <x:c r="E43" s="7" t="str">
        <x:v>RC0402FR-0710KL</x:v>
      </x:c>
      <x:c r="F43" s="7" t="str">
        <x:v>YAGEO</x:v>
      </x:c>
      <x:c r="G43" s="7" t="str">
        <x:v>HoloCubic_RevB:Original_R10</x:v>
      </x:c>
      <x:c r="H43" s="4" t="str">
        <x:v>未单独核验生命周期</x:v>
      </x:c>
      <x:c r="I43" s="4" t="str"/>
      <x:c r="J43" s="4" t="str">
        <x:v>https://www.yageogroup.com/component-documentation/download/specsheet/RC0402FR-0710KL</x:v>
      </x:c>
    </x:row>
    <x:row r="44" ht="62" customHeight="1">
      <x:c r="A44" s="2" t="str">
        <x:v>MainBoard</x:v>
      </x:c>
      <x:c r="B44" s="2" t="str">
        <x:v>R11</x:v>
      </x:c>
      <x:c r="C44" s="6" t="n">
        <x:v>1</x:v>
      </x:c>
      <x:c r="D44" s="4" t="str">
        <x:v>1k</x:v>
      </x:c>
      <x:c r="E44" s="7" t="str">
        <x:v>RC0402FR-071KL</x:v>
      </x:c>
      <x:c r="F44" s="7" t="str">
        <x:v>YAGEO</x:v>
      </x:c>
      <x:c r="G44" s="7" t="str">
        <x:v>HoloCubic_RevB:RevB_R11</x:v>
      </x:c>
      <x:c r="H44" s="4" t="str">
        <x:v>未单独核验生命周期</x:v>
      </x:c>
      <x:c r="I44" s="4" t="str"/>
      <x:c r="J44" s="4" t="str">
        <x:v>https://www.yageogroup.com/component-documentation/download/specsheet/RC0402FR-071KL</x:v>
      </x:c>
    </x:row>
    <x:row r="45" ht="62" customHeight="1">
      <x:c r="A45" s="2" t="str">
        <x:v>MainBoard</x:v>
      </x:c>
      <x:c r="B45" s="2" t="str">
        <x:v>R12</x:v>
      </x:c>
      <x:c r="C45" s="6" t="n">
        <x:v>1</x:v>
      </x:c>
      <x:c r="D45" s="4" t="str">
        <x:v>5.1k</x:v>
      </x:c>
      <x:c r="E45" s="7" t="str">
        <x:v>RC0402FR-075K1L</x:v>
      </x:c>
      <x:c r="F45" s="7" t="str">
        <x:v>YAGEO</x:v>
      </x:c>
      <x:c r="G45" s="7" t="str">
        <x:v>HoloCubic_RevB:RevB_R12</x:v>
      </x:c>
      <x:c r="H45" s="4" t="str">
        <x:v>未单独核验生命周期</x:v>
      </x:c>
      <x:c r="I45" s="4" t="str"/>
      <x:c r="J45" s="4" t="str">
        <x:v>https://www.yageogroup.com/component-documentation/download/specsheet/RC0402FR-075K1L</x:v>
      </x:c>
    </x:row>
    <x:row r="46" ht="62" customHeight="1">
      <x:c r="A46" s="2" t="str">
        <x:v>MainBoard</x:v>
      </x:c>
      <x:c r="B46" s="2" t="str">
        <x:v>R13</x:v>
      </x:c>
      <x:c r="C46" s="6" t="n">
        <x:v>1</x:v>
      </x:c>
      <x:c r="D46" s="4" t="str">
        <x:v>5.1k</x:v>
      </x:c>
      <x:c r="E46" s="7" t="str">
        <x:v>RC0402FR-075K1L</x:v>
      </x:c>
      <x:c r="F46" s="7" t="str">
        <x:v>YAGEO</x:v>
      </x:c>
      <x:c r="G46" s="7" t="str">
        <x:v>HoloCubic_RevB:RevB_R13</x:v>
      </x:c>
      <x:c r="H46" s="4" t="str">
        <x:v>未单独核验生命周期</x:v>
      </x:c>
      <x:c r="I46" s="4" t="str"/>
      <x:c r="J46" s="4" t="str">
        <x:v>https://www.yageogroup.com/component-documentation/download/specsheet/RC0402FR-075K1L</x:v>
      </x:c>
    </x:row>
    <x:row r="47" ht="62" customHeight="1">
      <x:c r="A47" s="2" t="str">
        <x:v>MainBoard</x:v>
      </x:c>
      <x:c r="B47" s="2" t="str">
        <x:v>R14</x:v>
      </x:c>
      <x:c r="C47" s="6" t="n">
        <x:v>1</x:v>
      </x:c>
      <x:c r="D47" s="4" t="str">
        <x:v>4.7k</x:v>
      </x:c>
      <x:c r="E47" s="7" t="str">
        <x:v>RC0402FR-074K7L</x:v>
      </x:c>
      <x:c r="F47" s="7" t="str">
        <x:v>YAGEO</x:v>
      </x:c>
      <x:c r="G47" s="7" t="str">
        <x:v>HoloCubic_RevB:RevB_R14</x:v>
      </x:c>
      <x:c r="H47" s="4" t="str">
        <x:v>未单独核验生命周期</x:v>
      </x:c>
      <x:c r="I47" s="4" t="str"/>
      <x:c r="J47" s="4" t="str">
        <x:v>https://www.yageogroup.com/component-documentation/download/specsheet/RC0402FR-074K7L</x:v>
      </x:c>
    </x:row>
    <x:row r="48" ht="62" customHeight="1">
      <x:c r="A48" s="2" t="str">
        <x:v>MainBoard</x:v>
      </x:c>
      <x:c r="B48" s="2" t="str">
        <x:v>R15</x:v>
      </x:c>
      <x:c r="C48" s="6" t="n">
        <x:v>1</x:v>
      </x:c>
      <x:c r="D48" s="4" t="str">
        <x:v>4.7k</x:v>
      </x:c>
      <x:c r="E48" s="7" t="str">
        <x:v>RC0402FR-074K7L</x:v>
      </x:c>
      <x:c r="F48" s="7" t="str">
        <x:v>YAGEO</x:v>
      </x:c>
      <x:c r="G48" s="7" t="str">
        <x:v>HoloCubic_RevB:RevB_R15</x:v>
      </x:c>
      <x:c r="H48" s="4" t="str">
        <x:v>未单独核验生命周期</x:v>
      </x:c>
      <x:c r="I48" s="4" t="str"/>
      <x:c r="J48" s="4" t="str">
        <x:v>https://www.yageogroup.com/component-documentation/download/specsheet/RC0402FR-074K7L</x:v>
      </x:c>
    </x:row>
    <x:row r="49" ht="62" customHeight="1">
      <x:c r="A49" s="2" t="str">
        <x:v>MainBoard</x:v>
      </x:c>
      <x:c r="B49" s="2" t="str">
        <x:v>R16</x:v>
      </x:c>
      <x:c r="C49" s="6" t="n">
        <x:v>1</x:v>
      </x:c>
      <x:c r="D49" s="4" t="str">
        <x:v>10k</x:v>
      </x:c>
      <x:c r="E49" s="7" t="str">
        <x:v>RC0402FR-0710KL</x:v>
      </x:c>
      <x:c r="F49" s="7" t="str">
        <x:v>YAGEO</x:v>
      </x:c>
      <x:c r="G49" s="7" t="str">
        <x:v>HoloCubic_RevB:RevB_R16</x:v>
      </x:c>
      <x:c r="H49" s="4" t="str">
        <x:v>未单独核验生命周期</x:v>
      </x:c>
      <x:c r="I49" s="4" t="str"/>
      <x:c r="J49" s="4" t="str">
        <x:v>https://www.yageogroup.com/component-documentation/download/specsheet/RC0402FR-0710KL</x:v>
      </x:c>
    </x:row>
    <x:row r="50" ht="62" customHeight="1">
      <x:c r="A50" s="2" t="str">
        <x:v>MainBoard</x:v>
      </x:c>
      <x:c r="B50" s="2" t="str">
        <x:v>R17</x:v>
      </x:c>
      <x:c r="C50" s="6" t="n">
        <x:v>1</x:v>
      </x:c>
      <x:c r="D50" s="4" t="str">
        <x:v>10k</x:v>
      </x:c>
      <x:c r="E50" s="7" t="str">
        <x:v>RC0402FR-0710KL</x:v>
      </x:c>
      <x:c r="F50" s="7" t="str">
        <x:v>YAGEO</x:v>
      </x:c>
      <x:c r="G50" s="7" t="str">
        <x:v>HoloCubic_RevB:RevB_R17</x:v>
      </x:c>
      <x:c r="H50" s="4" t="str">
        <x:v>未单独核验生命周期</x:v>
      </x:c>
      <x:c r="I50" s="4" t="str"/>
      <x:c r="J50" s="4" t="str">
        <x:v>https://www.yageogroup.com/component-documentation/download/specsheet/RC0402FR-0710KL</x:v>
      </x:c>
    </x:row>
    <x:row r="51" ht="62" customHeight="1">
      <x:c r="A51" s="2" t="str">
        <x:v>MainBoard</x:v>
      </x:c>
      <x:c r="B51" s="2" t="str">
        <x:v>R18</x:v>
      </x:c>
      <x:c r="C51" s="6" t="n">
        <x:v>1</x:v>
      </x:c>
      <x:c r="D51" s="4" t="str">
        <x:v>100k</x:v>
      </x:c>
      <x:c r="E51" s="7" t="str">
        <x:v>RC0402FR-07100KL</x:v>
      </x:c>
      <x:c r="F51" s="7" t="str">
        <x:v>YAGEO</x:v>
      </x:c>
      <x:c r="G51" s="7" t="str">
        <x:v>HoloCubic_RevB:RevB_R18</x:v>
      </x:c>
      <x:c r="H51" s="4" t="str">
        <x:v>未单独核验生命周期</x:v>
      </x:c>
      <x:c r="I51" s="4" t="str"/>
      <x:c r="J51" s="4" t="str">
        <x:v>https://www.yageogroup.com/component-documentation/download/specsheet/RC0402FR-07100KL</x:v>
      </x:c>
    </x:row>
    <x:row r="52" ht="62" customHeight="1">
      <x:c r="A52" s="2" t="str">
        <x:v>MainBoard</x:v>
      </x:c>
      <x:c r="B52" s="2" t="str">
        <x:v>R19</x:v>
      </x:c>
      <x:c r="C52" s="6" t="n">
        <x:v>1</x:v>
      </x:c>
      <x:c r="D52" s="4" t="str">
        <x:v>100k</x:v>
      </x:c>
      <x:c r="E52" s="7" t="str">
        <x:v>RC0402FR-07100KL</x:v>
      </x:c>
      <x:c r="F52" s="7" t="str">
        <x:v>YAGEO</x:v>
      </x:c>
      <x:c r="G52" s="7" t="str">
        <x:v>HoloCubic_RevB:RevB_R19</x:v>
      </x:c>
      <x:c r="H52" s="4" t="str">
        <x:v>未单独核验生命周期</x:v>
      </x:c>
      <x:c r="I52" s="4" t="str"/>
      <x:c r="J52" s="4" t="str">
        <x:v>https://www.yageogroup.com/component-documentation/download/specsheet/RC0402FR-07100KL</x:v>
      </x:c>
    </x:row>
    <x:row r="53" ht="62" customHeight="1">
      <x:c r="A53" s="2" t="str">
        <x:v>MainBoard</x:v>
      </x:c>
      <x:c r="B53" s="2" t="str">
        <x:v>R20</x:v>
      </x:c>
      <x:c r="C53" s="6" t="n">
        <x:v>1</x:v>
      </x:c>
      <x:c r="D53" s="4" t="str">
        <x:v>33</x:v>
      </x:c>
      <x:c r="E53" s="7" t="str">
        <x:v>RC0402FR-0733RL</x:v>
      </x:c>
      <x:c r="F53" s="7" t="str">
        <x:v>YAGEO</x:v>
      </x:c>
      <x:c r="G53" s="7" t="str">
        <x:v>HoloCubic_RevB:RevB_R20</x:v>
      </x:c>
      <x:c r="H53" s="4" t="str">
        <x:v>未单独核验生命周期</x:v>
      </x:c>
      <x:c r="I53" s="4" t="str"/>
      <x:c r="J53" s="4" t="str">
        <x:v>https://www.yageogroup.com/component-documentation/download/specsheet/RC0402FR-0733RL</x:v>
      </x:c>
    </x:row>
    <x:row r="54" ht="62" customHeight="1">
      <x:c r="A54" s="2" t="str">
        <x:v>MainBoard</x:v>
      </x:c>
      <x:c r="B54" s="2" t="str">
        <x:v>U1</x:v>
      </x:c>
      <x:c r="C54" s="6" t="n">
        <x:v>1</x:v>
      </x:c>
      <x:c r="D54" s="4" t="str">
        <x:v>CP2102</x:v>
      </x:c>
      <x:c r="E54" s="7" t="str">
        <x:v>CP2102-GMR</x:v>
      </x:c>
      <x:c r="F54" s="7" t="str">
        <x:v>Silicon Labs</x:v>
      </x:c>
      <x:c r="G54" s="7" t="str">
        <x:v>HoloCubic_RevB:Original_U1</x:v>
      </x:c>
      <x:c r="H54" s="4" t="str">
        <x:v>预计完整生产至少至2029-03</x:v>
      </x:c>
      <x:c r="I54" s="4" t="str">
        <x:v>经典CP2102 QFN28；核优选修订与可追溯批次，不以CP2102N替代</x:v>
      </x:c>
      <x:c r="J54" s="4" t="str">
        <x:v>https://www.silabs.com/interface/usb-bridges/classic/device.cp2102</x:v>
      </x:c>
    </x:row>
    <x:row r="55" ht="62" customHeight="1">
      <x:c r="A55" s="2" t="str">
        <x:v>MainBoard</x:v>
      </x:c>
      <x:c r="B55" s="2" t="str">
        <x:v>U2</x:v>
      </x:c>
      <x:c r="C55" s="6" t="n">
        <x:v>1</x:v>
      </x:c>
      <x:c r="D55" s="4" t="str">
        <x:v>TPS62162DSGR</x:v>
      </x:c>
      <x:c r="E55" s="7" t="str">
        <x:v>TPS62162DSGR</x:v>
      </x:c>
      <x:c r="F55" s="7" t="str">
        <x:v>Texas Instruments</x:v>
      </x:c>
      <x:c r="G55" s="7" t="str">
        <x:v>HoloCubic_RevB:RevB_U2</x:v>
      </x:c>
      <x:c r="H55" s="4" t="str">
        <x:v>Active（原厂）</x:v>
      </x:c>
      <x:c r="I55" s="4" t="str">
        <x:v>保持完整封装后缀与引脚定义</x:v>
      </x:c>
      <x:c r="J55" s="4" t="str">
        <x:v>https://www.ti.com/product/TPS62162</x:v>
      </x:c>
    </x:row>
    <x:row r="56" ht="62" customHeight="1">
      <x:c r="A56" s="2" t="str">
        <x:v>MainBoard</x:v>
      </x:c>
      <x:c r="B56" s="2" t="str">
        <x:v>U3</x:v>
      </x:c>
      <x:c r="C56" s="6" t="n">
        <x:v>1</x:v>
      </x:c>
      <x:c r="D56" s="4" t="str">
        <x:v>MPU6050</x:v>
      </x:c>
      <x:c r="E56" s="7" t="str">
        <x:v>MPU-6050</x:v>
      </x:c>
      <x:c r="F56" s="7" t="str">
        <x:v>TDK InvenSense</x:v>
      </x:c>
      <x:c r="G56" s="7" t="str">
        <x:v>HoloCubic_RevB:Original_U3</x:v>
      </x:c>
      <x:c r="H56" s="4" t="str">
        <x:v>Obsolete（原厂）</x:v>
      </x:c>
      <x:c r="I56" s="4" t="str">
        <x:v>仅可追溯旧库存复刻；需来料功能检验；非持续量产供货方案</x:v>
      </x:c>
      <x:c r="J56" s="4" t="str">
        <x:v>https://product.tdk.com/en/search/sensor/mortion-inertial/imu/info?part_no=MPU-6050</x:v>
      </x:c>
    </x:row>
    <x:row r="57" ht="62" customHeight="1">
      <x:c r="A57" s="2" t="str">
        <x:v>MainBoard</x:v>
      </x:c>
      <x:c r="B57" s="2" t="str">
        <x:v>U4</x:v>
      </x:c>
      <x:c r="C57" s="6" t="n">
        <x:v>1</x:v>
      </x:c>
      <x:c r="D57" s="4" t="str">
        <x:v>ESP32_SIP</x:v>
      </x:c>
      <x:c r="E57" s="7" t="str">
        <x:v>ESP32-PICO-D4</x:v>
      </x:c>
      <x:c r="F57" s="7" t="str">
        <x:v>Espressif</x:v>
      </x:c>
      <x:c r="G57" s="7" t="str">
        <x:v>HoloCubic_RevB:RevB_U4</x:v>
      </x:c>
      <x:c r="H57" s="4" t="str">
        <x:v>NRND（原厂）</x:v>
      </x:c>
      <x:c r="I57" s="4" t="str">
        <x:v>PICO系列v1.5均NRND；保持D4，替代需重新设计；EP/paste/via按RevB受控封装</x:v>
      </x:c>
      <x:c r="J57" s="4" t="str">
        <x:v>https://documentation.espressif.com/esp32-pico_series_datasheet_en.html</x:v>
      </x:c>
    </x:row>
    <x:row r="58" ht="62" customHeight="1">
      <x:c r="A58" s="2" t="str">
        <x:v>MainBoard</x:v>
      </x:c>
      <x:c r="B58" s="2" t="str">
        <x:v>U5</x:v>
      </x:c>
      <x:c r="C58" s="6" t="n">
        <x:v>1</x:v>
      </x:c>
      <x:c r="D58" s="4" t="str">
        <x:v>BH1750FVI-TR</x:v>
      </x:c>
      <x:c r="E58" s="7" t="str">
        <x:v>BH1750FVI-TR</x:v>
      </x:c>
      <x:c r="F58" s="7" t="str">
        <x:v>ROHM</x:v>
      </x:c>
      <x:c r="G58" s="7" t="str">
        <x:v>HoloCubic_RevB:Original_U5</x:v>
      </x:c>
      <x:c r="H58" s="4" t="str">
        <x:v>NRND（渠道，待原厂确认）</x:v>
      </x:c>
      <x:c r="I58" s="4" t="str">
        <x:v>WSOF6I；向原厂/授权渠道确认供货与追溯，不以模块代替裸IC</x:v>
      </x:c>
      <x:c r="J58" s="4" t="str">
        <x:v>https://mm.digikey.com/Volume0/opasdata/d220001/medias/docus/6165/bh1750fvi-e.pdf</x:v>
      </x:c>
    </x:row>
    <x:row r="59" ht="62" customHeight="1">
      <x:c r="A59" s="2" t="str">
        <x:v>MainBoard</x:v>
      </x:c>
      <x:c r="B59" s="2" t="str">
        <x:v>U6</x:v>
      </x:c>
      <x:c r="C59" s="6" t="n">
        <x:v>1</x:v>
      </x:c>
      <x:c r="D59" s="4" t="str">
        <x:v>TPS22918DBVR</x:v>
      </x:c>
      <x:c r="E59" s="7" t="str">
        <x:v>TPS22918DBVR</x:v>
      </x:c>
      <x:c r="F59" s="7" t="str">
        <x:v>Texas Instruments</x:v>
      </x:c>
      <x:c r="G59" s="7" t="str">
        <x:v>HoloCubic_RevB:RevB_U6</x:v>
      </x:c>
      <x:c r="H59" s="4" t="str">
        <x:v>Active（原厂）</x:v>
      </x:c>
      <x:c r="I59" s="4" t="str">
        <x:v>保持完整封装后缀与引脚定义</x:v>
      </x:c>
      <x:c r="J59" s="4" t="str">
        <x:v>https://www.ti.com/product/TPS22918</x:v>
      </x:c>
    </x:row>
    <x:row r="60" ht="62" customHeight="1">
      <x:c r="A60" s="2" t="str">
        <x:v>MainBoard</x:v>
      </x:c>
      <x:c r="B60" s="2" t="str">
        <x:v>U7</x:v>
      </x:c>
      <x:c r="C60" s="6" t="n">
        <x:v>1</x:v>
      </x:c>
      <x:c r="D60" s="4" t="str">
        <x:v>TPD4E05U06DQAR</x:v>
      </x:c>
      <x:c r="E60" s="7" t="str">
        <x:v>TPD4E05U06DQAR</x:v>
      </x:c>
      <x:c r="F60" s="7" t="str">
        <x:v>Texas Instruments</x:v>
      </x:c>
      <x:c r="G60" s="7" t="str">
        <x:v>HoloCubic_RevB:RevB_U7</x:v>
      </x:c>
      <x:c r="H60" s="4" t="str">
        <x:v>Active（原厂）</x:v>
      </x:c>
      <x:c r="I60" s="4" t="str">
        <x:v>保持完整封装后缀与引脚定义</x:v>
      </x:c>
      <x:c r="J60" s="4" t="str">
        <x:v>https://www.ti.com/product/TPD4E05U06</x:v>
      </x:c>
    </x:row>
    <x:row r="61" ht="62" customHeight="1">
      <x:c r="A61" s="2" t="str">
        <x:v>MainBoard</x:v>
      </x:c>
      <x:c r="B61" s="2" t="str">
        <x:v>U8</x:v>
      </x:c>
      <x:c r="C61" s="6" t="n">
        <x:v>1</x:v>
      </x:c>
      <x:c r="D61" s="4" t="str">
        <x:v>SN74AHCT1G125DCKR</x:v>
      </x:c>
      <x:c r="E61" s="7" t="str">
        <x:v>SN74AHCT1G125DCKR</x:v>
      </x:c>
      <x:c r="F61" s="7" t="str">
        <x:v>Texas Instruments</x:v>
      </x:c>
      <x:c r="G61" s="7" t="str">
        <x:v>HoloCubic_RevB:RevB_U8</x:v>
      </x:c>
      <x:c r="H61" s="4" t="str">
        <x:v>Active（原厂）</x:v>
      </x:c>
      <x:c r="I61" s="4" t="str">
        <x:v>保持完整封装后缀与引脚定义</x:v>
      </x:c>
      <x:c r="J61" s="4" t="str">
        <x:v>https://www.ti.com/product/SN74AHCT1G125</x:v>
      </x:c>
    </x:row>
    <x:row r="62" ht="62" customHeight="1">
      <x:c r="A62" s="2" t="str">
        <x:v>MainBoard</x:v>
      </x:c>
      <x:c r="B62" s="2" t="str">
        <x:v>USB1</x:v>
      </x:c>
      <x:c r="C62" s="6" t="n">
        <x:v>1</x:v>
      </x:c>
      <x:c r="D62" s="4" t="str">
        <x:v>USB4105-GF-A</x:v>
      </x:c>
      <x:c r="E62" s="7" t="str">
        <x:v>USB4105-GF-A</x:v>
      </x:c>
      <x:c r="F62" s="7" t="str">
        <x:v>GCT</x:v>
      </x:c>
      <x:c r="G62" s="7" t="str">
        <x:v>HoloCubic_RevB:RevB_USB1</x:v>
      </x:c>
      <x:c r="H62" s="4" t="str">
        <x:v>厂家图纸已核</x:v>
      </x:c>
      <x:c r="I62" s="4" t="str">
        <x:v>按GF-A后缀和B4图采购；需USB数据、热插拔及壳口样件验收</x:v>
      </x:c>
      <x:c r="J62" s="4" t="str">
        <x:v>https://gct.co/connector/usb4105</x:v>
      </x:c>
    </x:row>
    <x:row r="63" ht="62" customHeight="1">
      <x:c r="A63" s="2" t="str">
        <x:v>MainBoard</x:v>
      </x:c>
      <x:c r="B63" s="2" t="str">
        <x:v>VT1</x:v>
      </x:c>
      <x:c r="C63" s="6" t="n">
        <x:v>1</x:v>
      </x:c>
      <x:c r="D63" s="4" t="str">
        <x:v>MMBT3904-7-F</x:v>
      </x:c>
      <x:c r="E63" s="7" t="str">
        <x:v>MMBT3904-7-F</x:v>
      </x:c>
      <x:c r="F63" s="7" t="str">
        <x:v>Diodes Incorporated</x:v>
      </x:c>
      <x:c r="G63" s="7" t="str">
        <x:v>HoloCubic_RevB:RevB_VT1</x:v>
      </x:c>
      <x:c r="H63" s="4" t="str">
        <x:v>厂家图纸已核</x:v>
      </x:c>
      <x:c r="I63" s="4" t="str">
        <x:v>B1/E2/C3；按Diodes受控SOT23焊盘，不任意替换不同引脚8050</x:v>
      </x:c>
      <x:c r="J63" s="4" t="str">
        <x:v>https://www.diodes.com/assets/Datasheets/MMBT3904.pdf</x:v>
      </x:c>
    </x:row>
    <x:row r="64" ht="62" customHeight="1">
      <x:c r="A64" s="2" t="str">
        <x:v>MainBoard</x:v>
      </x:c>
      <x:c r="B64" s="2" t="str">
        <x:v>VT2</x:v>
      </x:c>
      <x:c r="C64" s="6" t="n">
        <x:v>1</x:v>
      </x:c>
      <x:c r="D64" s="4" t="str">
        <x:v>MMBT3904-7-F</x:v>
      </x:c>
      <x:c r="E64" s="7" t="str">
        <x:v>MMBT3904-7-F</x:v>
      </x:c>
      <x:c r="F64" s="7" t="str">
        <x:v>Diodes Incorporated</x:v>
      </x:c>
      <x:c r="G64" s="7" t="str">
        <x:v>HoloCubic_RevB:RevB_VT2</x:v>
      </x:c>
      <x:c r="H64" s="4" t="str">
        <x:v>厂家图纸已核</x:v>
      </x:c>
      <x:c r="I64" s="4" t="str">
        <x:v>B1/E2/C3；按Diodes受控SOT23焊盘，不任意替换不同引脚8050</x:v>
      </x:c>
      <x:c r="J64" s="4" t="str">
        <x:v>https://www.diodes.com/assets/Datasheets/MMBT3904.pdf</x:v>
      </x:c>
    </x:row>
    <x:row r="65" ht="62" customHeight="1">
      <x:c r="A65" s="2" t="str">
        <x:v>ExtendBoard</x:v>
      </x:c>
      <x:c r="B65" s="2" t="str">
        <x:v>C1</x:v>
      </x:c>
      <x:c r="C65" s="6" t="n">
        <x:v>1</x:v>
      </x:c>
      <x:c r="D65" s="4" t="str">
        <x:v>100nF</x:v>
      </x:c>
      <x:c r="E65" s="7" t="str">
        <x:v>GRM155R71C104KA88D</x:v>
      </x:c>
      <x:c r="F65" s="7" t="str">
        <x:v>Murata</x:v>
      </x:c>
      <x:c r="G65" s="7" t="str">
        <x:v>HoloCubic_Ext:C_0402</x:v>
      </x:c>
      <x:c r="H65" s="4" t="str">
        <x:v>原理图已选完整MPN</x:v>
      </x:c>
      <x:c r="I65" s="4" t="str">
        <x:v>MLCC标称值不代表工作偏压下有效值</x:v>
      </x:c>
      <x:c r="J65" s="4" t="str">
        <x:v>https://ds.murata.com/simserve/characteristics?ReqType=TechPDF&amp;partnumber=GRM155R71C104KA88&amp;techpdfname=technical_pdf_Capacitor01&amp;lang=en</x:v>
      </x:c>
    </x:row>
    <x:row r="66" ht="62" customHeight="1">
      <x:c r="A66" s="2" t="str">
        <x:v>ExtendBoard</x:v>
      </x:c>
      <x:c r="B66" s="2" t="str">
        <x:v>C2</x:v>
      </x:c>
      <x:c r="C66" s="6" t="n">
        <x:v>1</x:v>
      </x:c>
      <x:c r="D66" s="4" t="str">
        <x:v>4.7uF</x:v>
      </x:c>
      <x:c r="E66" s="7" t="str">
        <x:v>GRM188R61A475KE15D</x:v>
      </x:c>
      <x:c r="F66" s="7" t="str">
        <x:v>Murata</x:v>
      </x:c>
      <x:c r="G66" s="7" t="str">
        <x:v>HoloCubic_Ext:C_0603</x:v>
      </x:c>
      <x:c r="H66" s="4" t="str">
        <x:v>原理图已选完整MPN</x:v>
      </x:c>
      <x:c r="I66" s="4" t="str">
        <x:v>MLCC标称值不代表工作偏压下有效值</x:v>
      </x:c>
      <x:c r="J66" s="4" t="str">
        <x:v>https://ds.murata.com/simserve/characteristics?ReqType=TechPDF&amp;partnumber=GRM188R61A475KE15&amp;techpdfname=technical_pdf_Capacitor01&amp;lang=en</x:v>
      </x:c>
    </x:row>
    <x:row r="67" ht="62" customHeight="1">
      <x:c r="A67" s="2" t="str">
        <x:v>ExtendBoard</x:v>
      </x:c>
      <x:c r="B67" s="2" t="str">
        <x:v>C3</x:v>
      </x:c>
      <x:c r="C67" s="6" t="n">
        <x:v>1</x:v>
      </x:c>
      <x:c r="D67" s="4" t="str">
        <x:v>100nF</x:v>
      </x:c>
      <x:c r="E67" s="7" t="str">
        <x:v>GRM155R71C104KA88D</x:v>
      </x:c>
      <x:c r="F67" s="7" t="str">
        <x:v>Murata</x:v>
      </x:c>
      <x:c r="G67" s="7" t="str">
        <x:v>HoloCubic_Ext:C_0402</x:v>
      </x:c>
      <x:c r="H67" s="4" t="str">
        <x:v>原理图已选完整MPN</x:v>
      </x:c>
      <x:c r="I67" s="4" t="str">
        <x:v>MLCC标称值不代表工作偏压下有效值</x:v>
      </x:c>
      <x:c r="J67" s="4" t="str">
        <x:v>https://ds.murata.com/simserve/characteristics?ReqType=TechPDF&amp;partnumber=GRM155R71C104KA88&amp;techpdfname=technical_pdf_Capacitor01&amp;lang=en</x:v>
      </x:c>
    </x:row>
    <x:row r="68" ht="62" customHeight="1">
      <x:c r="A68" s="2" t="str">
        <x:v>ExtendBoard</x:v>
      </x:c>
      <x:c r="B68" s="2" t="str">
        <x:v>C4</x:v>
      </x:c>
      <x:c r="C68" s="6" t="n">
        <x:v>1</x:v>
      </x:c>
      <x:c r="D68" s="4" t="str">
        <x:v>1uF</x:v>
      </x:c>
      <x:c r="E68" s="7" t="str">
        <x:v>GRM188R71A105KA61D</x:v>
      </x:c>
      <x:c r="F68" s="7" t="str">
        <x:v>Murata</x:v>
      </x:c>
      <x:c r="G68" s="7" t="str">
        <x:v>HoloCubic_Ext:C_0603</x:v>
      </x:c>
      <x:c r="H68" s="4" t="str">
        <x:v>原理图已选完整MPN</x:v>
      </x:c>
      <x:c r="I68" s="4" t="str">
        <x:v>MLCC标称值不代表工作偏压下有效值</x:v>
      </x:c>
      <x:c r="J68" s="4" t="str">
        <x:v>https://ds.murata.com/simserve/characteristics?ReqType=TechPDF&amp;partnumber=GRM188R71A105KA61&amp;techpdfname=technical_pdf_Capacitor01&amp;lang=en</x:v>
      </x:c>
    </x:row>
    <x:row r="69" ht="62" customHeight="1">
      <x:c r="A69" s="2" t="str">
        <x:v>ExtendBoard</x:v>
      </x:c>
      <x:c r="B69" s="2" t="str">
        <x:v>CON1</x:v>
      </x:c>
      <x:c r="C69" s="6" t="n">
        <x:v>1</x:v>
      </x:c>
      <x:c r="D69" s="4" t="str">
        <x:v>FH12-8S-0.5SH(55)</x:v>
      </x:c>
      <x:c r="E69" s="7" t="str">
        <x:v>FH12-8S-0.5SH(55)</x:v>
      </x:c>
      <x:c r="F69" s="7" t="str">
        <x:v>Hirose</x:v>
      </x:c>
      <x:c r="G69" s="7" t="str">
        <x:v>HoloCubic_Ext:FFC_8P_0.5mm</x:v>
      </x:c>
      <x:c r="H69" s="4" t="str">
        <x:v>厂家图纸已核</x:v>
      </x:c>
      <x:c r="I69" s="4" t="str">
        <x:v>8P / 0.5mm / 0.3mm厚FFC，bottom contact；排线接触面及长度另行锁定</x:v>
      </x:c>
      <x:c r="J69" s="4" t="str">
        <x:v>https://www.hirose.com/product/p/CL0586-0744-5-55</x:v>
      </x:c>
    </x:row>
    <x:row r="70" ht="62" customHeight="1">
      <x:c r="A70" s="2" t="str">
        <x:v>ExtendBoard</x:v>
      </x:c>
      <x:c r="B70" s="2" t="str">
        <x:v>LCD1</x:v>
      </x:c>
      <x:c r="C70" s="6" t="n">
        <x:v>1</x:v>
      </x:c>
      <x:c r="D70" s="4" t="str">
        <x:v>P133H002</x:v>
      </x:c>
      <x:c r="E70" s="7" t="str">
        <x:v>P133H002</x:v>
      </x:c>
      <x:c r="F70" s="7" t="str">
        <x:v>POLCD</x:v>
      </x:c>
      <x:c r="G70" s="7" t="str">
        <x:v>HoloCubic_Ext:LCD_12P_0.7mm</x:v>
      </x:c>
      <x:c r="H70" s="4" t="str">
        <x:v>电气候选，机械待验收</x:v>
      </x:c>
      <x:c r="I70" s="4" t="str">
        <x:v>12pin/0.7mm/ST7789V；5.5x0.5mm无F.Paste长焊盘，PCBA后手工焊FPC；仅核纵向落点，折弯/接触面/整壳仍待样件</x:v>
      </x:c>
      <x:c r="J70" s="4" t="str">
        <x:v>https://www.polcd-digital.com/products/1-3-inch-tft-lcd-display-240x240-pixels-p133h002</x:v>
      </x:c>
    </x:row>
    <x:row r="71" ht="62" customHeight="1">
      <x:c r="A71" s="2" t="str">
        <x:v>ExtendBoard</x:v>
      </x:c>
      <x:c r="B71" s="2" t="str">
        <x:v>Q1</x:v>
      </x:c>
      <x:c r="C71" s="6" t="n">
        <x:v>1</x:v>
      </x:c>
      <x:c r="D71" s="4" t="str">
        <x:v>AO3400A</x:v>
      </x:c>
      <x:c r="E71" s="7" t="str">
        <x:v>AO3400A</x:v>
      </x:c>
      <x:c r="F71" s="7" t="str">
        <x:v>Alpha &amp; Omega Semiconductor</x:v>
      </x:c>
      <x:c r="G71" s="7" t="str">
        <x:v>HoloCubic_Ext:SOT23_NMOS</x:v>
      </x:c>
      <x:c r="H71" s="4" t="str">
        <x:v>未单独核验生命周期</x:v>
      </x:c>
      <x:c r="I71" s="4" t="str">
        <x:v>G1/S2/D3逻辑NMOS；不可用NPN替代，以免加载GPIO5启动strap</x:v>
      </x:c>
      <x:c r="J71" s="4" t="str">
        <x:v>https://www.aosmd.com/sites/default/files/res/datasheets/AO3400A.pdf</x:v>
      </x:c>
    </x:row>
    <x:row r="72" ht="62" customHeight="1">
      <x:c r="A72" s="2" t="str">
        <x:v>ExtendBoard</x:v>
      </x:c>
      <x:c r="B72" s="2" t="str">
        <x:v>R1</x:v>
      </x:c>
      <x:c r="C72" s="6" t="n">
        <x:v>1</x:v>
      </x:c>
      <x:c r="D72" s="4" t="str">
        <x:v>1k</x:v>
      </x:c>
      <x:c r="E72" s="7" t="str">
        <x:v>RC0402FR-071KL</x:v>
      </x:c>
      <x:c r="F72" s="7" t="str">
        <x:v>YAGEO</x:v>
      </x:c>
      <x:c r="G72" s="7" t="str">
        <x:v>HoloCubic_Ext:R_0402</x:v>
      </x:c>
      <x:c r="H72" s="4" t="str">
        <x:v>未单独核验生命周期</x:v>
      </x:c>
      <x:c r="I72" s="4" t="str"/>
      <x:c r="J72" s="4" t="str">
        <x:v>https://www.yageogroup.com/component-documentation/download/specsheet/RC0402FR-071KL</x:v>
      </x:c>
    </x:row>
    <x:row r="73" ht="62" customHeight="1">
      <x:c r="A73" s="2" t="str">
        <x:v>ExtendBoard</x:v>
      </x:c>
      <x:c r="B73" s="2" t="str">
        <x:v>R2</x:v>
      </x:c>
      <x:c r="C73" s="6" t="n">
        <x:v>1</x:v>
      </x:c>
      <x:c r="D73" s="4" t="str">
        <x:v>27</x:v>
      </x:c>
      <x:c r="E73" s="7" t="str">
        <x:v>RC0603FR-0727RL</x:v>
      </x:c>
      <x:c r="F73" s="7" t="str">
        <x:v>YAGEO</x:v>
      </x:c>
      <x:c r="G73" s="7" t="str">
        <x:v>HoloCubic_Ext:R_0603</x:v>
      </x:c>
      <x:c r="H73" s="4" t="str">
        <x:v>未单独核验生命周期</x:v>
      </x:c>
      <x:c r="I73" s="4" t="str"/>
      <x:c r="J73" s="4" t="str">
        <x:v>https://www.yageogroup.com/component-documentation/download/specsheet/RC0603FR-0727RL</x:v>
      </x:c>
    </x:row>
    <x:row r="74" ht="62" customHeight="1">
      <x:c r="A74" s="2" t="str">
        <x:v>ExtendBoard</x:v>
      </x:c>
      <x:c r="B74" s="2" t="str">
        <x:v>R3</x:v>
      </x:c>
      <x:c r="C74" s="6" t="n">
        <x:v>1</x:v>
      </x:c>
      <x:c r="D74" s="4" t="str">
        <x:v>100k</x:v>
      </x:c>
      <x:c r="E74" s="7" t="str">
        <x:v>RC0402FR-07100KL</x:v>
      </x:c>
      <x:c r="F74" s="7" t="str">
        <x:v>YAGEO</x:v>
      </x:c>
      <x:c r="G74" s="7" t="str">
        <x:v>HoloCubic_Ext:R_0402</x:v>
      </x:c>
      <x:c r="H74" s="4" t="str">
        <x:v>未单独核验生命周期</x:v>
      </x:c>
      <x:c r="I74" s="4" t="str"/>
      <x:c r="J74" s="4" t="str">
        <x:v>https://www.yageogroup.com/component-documentation/download/specsheet/RC0402FR-07100KL</x:v>
      </x:c>
    </x:row>
    <x:row r="75" ht="62" customHeight="1">
      <x:c r="A75" s="2" t="str">
        <x:v>ExtendBoard</x:v>
      </x:c>
      <x:c r="B75" s="2" t="str">
        <x:v>U1</x:v>
      </x:c>
      <x:c r="C75" s="6" t="n">
        <x:v>1</x:v>
      </x:c>
      <x:c r="D75" s="4" t="str">
        <x:v>AL5802</x:v>
      </x:c>
      <x:c r="E75" s="7" t="str">
        <x:v>AL5802-7</x:v>
      </x:c>
      <x:c r="F75" s="7" t="str">
        <x:v>Diodes Incorporated</x:v>
      </x:c>
      <x:c r="G75" s="7" t="str">
        <x:v>HoloCubic_Ext:SOT26_AL5802</x:v>
      </x:c>
      <x:c r="H75" s="4" t="str">
        <x:v>未单独核验生命周期</x:v>
      </x:c>
      <x:c r="I75" s="4" t="str">
        <x:v>SOT26恒流驱动；27ohm设约24mA典型值，须测实物背光电流</x:v>
      </x:c>
      <x:c r="J75" s="4" t="str">
        <x:v>https://www.diodes.com/assets/Datasheets/AL5802.pdf</x:v>
      </x:c>
    </x:row>
  </x:sheetData>
  <x:conditionalFormatting sqref="H7:H75">
    <x:cfRule type="containsText" dxfId="3" priority="1" operator="containsText" text="Obsolete"/>
    <x:cfRule type="containsText" dxfId="4" priority="2" operator="containsText" text="NRND"/>
    <x:cfRule type="containsText" dxfId="5" priority="3" operator="containsText" text="待验收"/>
  </x:conditionalFormatting>
  <x:pageMargins left="0.7" right="0.7" top="0.75" bottom="0.75" header="0.3" footer="0.3"/>
  <x:tableParts count="1">
    <x:tablePart xmlns:r="http://schemas.openxmlformats.org/officeDocument/2006/relationships" r:id="R3b16560253fa498c"/>
  </x:tableParts>
</x:worksheet>
</file>